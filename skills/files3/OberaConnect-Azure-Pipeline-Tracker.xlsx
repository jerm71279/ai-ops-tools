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ster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hase 1 Focus" sheetId="3" state="visible" r:id="rId3"/>
    <sheet xmlns:r="http://schemas.openxmlformats.org/officeDocument/2006/relationships" name="Runbook Templat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1E3A5F"/>
      <sz val="16"/>
    </font>
    <font>
      <name val="Cambria"/>
      <charset val="1"/>
      <family val="0"/>
      <b val="1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E3A5F"/>
      <sz val="14"/>
    </font>
    <font>
      <name val="Cambria"/>
      <charset val="1"/>
      <family val="0"/>
      <i val="1"/>
      <sz val="10"/>
    </font>
    <font>
      <name val="Cambria"/>
      <charset val="1"/>
      <family val="0"/>
      <sz val="11"/>
    </font>
  </fonts>
  <fills count="10">
    <fill>
      <patternFill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CCCCCC"/>
      </patternFill>
    </fill>
    <fill>
      <patternFill patternType="solid">
        <fgColor rgb="FFB4C6E7"/>
        <bgColor rgb="FFCCCCCC"/>
      </patternFill>
    </fill>
    <fill>
      <patternFill patternType="solid">
        <fgColor rgb="FF4A7298"/>
        <bgColor rgb="FF808080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298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0" min="1" max="1"/>
    <col width="18" customWidth="1" style="20" min="2" max="2"/>
    <col width="28" customWidth="1" style="20" min="3" max="3"/>
    <col width="10" customWidth="1" style="20" min="4" max="5"/>
    <col width="12" customWidth="1" style="20" min="6" max="15"/>
    <col width="30" customWidth="1" style="20" min="16" max="16"/>
    <col width="25" customWidth="1" style="20" min="17" max="17"/>
  </cols>
  <sheetData>
    <row r="1" ht="28.35" customHeight="1" s="21">
      <c r="A1" s="22" t="inlineStr">
        <is>
          <t>ID</t>
        </is>
      </c>
      <c r="B1" s="22" t="inlineStr">
        <is>
          <t>Category</t>
        </is>
      </c>
      <c r="C1" s="22" t="inlineStr">
        <is>
          <t>Service Name</t>
        </is>
      </c>
      <c r="D1" s="22" t="inlineStr">
        <is>
          <t>Phase</t>
        </is>
      </c>
      <c r="E1" s="22" t="inlineStr">
        <is>
          <t>Priority</t>
        </is>
      </c>
      <c r="F1" s="22" t="inlineStr">
        <is>
          <t>Lab Status</t>
        </is>
      </c>
      <c r="G1" s="22" t="inlineStr">
        <is>
          <t>Lab Owner</t>
        </is>
      </c>
      <c r="H1" s="22" t="inlineStr">
        <is>
          <t>Lab Start</t>
        </is>
      </c>
      <c r="I1" s="22" t="inlineStr">
        <is>
          <t>Lab Complete</t>
        </is>
      </c>
      <c r="J1" s="22" t="inlineStr">
        <is>
          <t>Obera Status</t>
        </is>
      </c>
      <c r="K1" s="22" t="inlineStr">
        <is>
          <t>Obera Owner</t>
        </is>
      </c>
      <c r="L1" s="22" t="inlineStr">
        <is>
          <t>Obera Start</t>
        </is>
      </c>
      <c r="M1" s="22" t="inlineStr">
        <is>
          <t>Obera Complete</t>
        </is>
      </c>
      <c r="N1" s="22" t="inlineStr">
        <is>
          <t>Customer Status</t>
        </is>
      </c>
      <c r="O1" s="22" t="inlineStr">
        <is>
          <t>Customer Owner</t>
        </is>
      </c>
      <c r="P1" s="22" t="inlineStr">
        <is>
          <t>Notes</t>
        </is>
      </c>
      <c r="Q1" s="22" t="inlineStr">
        <is>
          <t>Dependencies</t>
        </is>
      </c>
    </row>
    <row r="2" ht="28.35" customHeight="1" s="21">
      <c r="A2" s="23" t="inlineStr">
        <is>
          <t>IAM-001</t>
        </is>
      </c>
      <c r="B2" s="24" t="inlineStr">
        <is>
          <t>Identity &amp; Access</t>
        </is>
      </c>
      <c r="C2" s="24" t="inlineStr">
        <is>
          <t>Microsoft Entra ID</t>
        </is>
      </c>
      <c r="D2" s="25" t="inlineStr">
        <is>
          <t>Phase 1</t>
        </is>
      </c>
      <c r="E2" s="23" t="inlineStr">
        <is>
          <t>Critical</t>
        </is>
      </c>
      <c r="F2" s="26" t="inlineStr">
        <is>
          <t>In Progress</t>
        </is>
      </c>
      <c r="G2" s="23" t="inlineStr">
        <is>
          <t>Maverick</t>
        </is>
      </c>
      <c r="H2" s="23" t="inlineStr">
        <is>
          <t>2025-11-28</t>
        </is>
      </c>
      <c r="I2" s="23" t="n"/>
      <c r="J2" s="27" t="inlineStr">
        <is>
          <t>Not Started</t>
        </is>
      </c>
      <c r="K2" s="23" t="n"/>
      <c r="L2" s="23" t="n"/>
      <c r="M2" s="23" t="n"/>
      <c r="N2" s="27" t="inlineStr">
        <is>
          <t>Not Started</t>
        </is>
      </c>
      <c r="O2" s="23" t="n"/>
      <c r="P2" s="24" t="inlineStr">
        <is>
          <t>Foundation for all Azure services
[2025-11-28 02:45] LAB: Starting foundation identity setup</t>
        </is>
      </c>
      <c r="Q2" s="24" t="inlineStr">
        <is>
          <t>None</t>
        </is>
      </c>
    </row>
    <row r="3" ht="28.35" customHeight="1" s="21">
      <c r="A3" s="23" t="inlineStr">
        <is>
          <t>IAM-002</t>
        </is>
      </c>
      <c r="B3" s="24" t="inlineStr">
        <is>
          <t>Identity &amp; Access</t>
        </is>
      </c>
      <c r="C3" s="24" t="inlineStr">
        <is>
          <t>Entra ID P1/P2</t>
        </is>
      </c>
      <c r="D3" s="25" t="inlineStr">
        <is>
          <t>Phase 1</t>
        </is>
      </c>
      <c r="E3" s="23" t="inlineStr">
        <is>
          <t>Critical</t>
        </is>
      </c>
      <c r="F3" s="27" t="inlineStr">
        <is>
          <t>Not Started</t>
        </is>
      </c>
      <c r="G3" s="23" t="n"/>
      <c r="H3" s="23" t="n"/>
      <c r="I3" s="23" t="n"/>
      <c r="J3" s="27" t="inlineStr">
        <is>
          <t>Not Started</t>
        </is>
      </c>
      <c r="K3" s="23" t="n"/>
      <c r="L3" s="23" t="n"/>
      <c r="M3" s="23" t="n"/>
      <c r="N3" s="27" t="inlineStr">
        <is>
          <t>Not Started</t>
        </is>
      </c>
      <c r="O3" s="23" t="n"/>
      <c r="P3" s="24" t="inlineStr">
        <is>
          <t>Conditional Access, Identity Protection</t>
        </is>
      </c>
      <c r="Q3" s="24" t="inlineStr">
        <is>
          <t>IAM-001</t>
        </is>
      </c>
    </row>
    <row r="4" ht="28.35" customHeight="1" s="21">
      <c r="A4" s="23" t="inlineStr">
        <is>
          <t>IAM-003</t>
        </is>
      </c>
      <c r="B4" s="24" t="inlineStr">
        <is>
          <t>Identity &amp; Access</t>
        </is>
      </c>
      <c r="C4" s="24" t="inlineStr">
        <is>
          <t>Entra Connect / Cloud Sync</t>
        </is>
      </c>
      <c r="D4" s="25" t="inlineStr">
        <is>
          <t>Phase 1</t>
        </is>
      </c>
      <c r="E4" s="23" t="inlineStr">
        <is>
          <t>High</t>
        </is>
      </c>
      <c r="F4" s="27" t="inlineStr">
        <is>
          <t>Not Started</t>
        </is>
      </c>
      <c r="G4" s="23" t="n"/>
      <c r="H4" s="23" t="n"/>
      <c r="I4" s="23" t="n"/>
      <c r="J4" s="27" t="inlineStr">
        <is>
          <t>Not Started</t>
        </is>
      </c>
      <c r="K4" s="23" t="n"/>
      <c r="L4" s="23" t="n"/>
      <c r="M4" s="23" t="n"/>
      <c r="N4" s="27" t="inlineStr">
        <is>
          <t>Not Started</t>
        </is>
      </c>
      <c r="O4" s="23" t="n"/>
      <c r="P4" s="24" t="inlineStr">
        <is>
          <t>Hybrid identity sync</t>
        </is>
      </c>
      <c r="Q4" s="24" t="inlineStr">
        <is>
          <t>IAM-001</t>
        </is>
      </c>
    </row>
    <row r="5" ht="28.35" customHeight="1" s="21">
      <c r="A5" s="23" t="inlineStr">
        <is>
          <t>IAM-004</t>
        </is>
      </c>
      <c r="B5" s="24" t="inlineStr">
        <is>
          <t>Identity &amp; Access</t>
        </is>
      </c>
      <c r="C5" s="24" t="inlineStr">
        <is>
          <t>Privileged Identity Management</t>
        </is>
      </c>
      <c r="D5" s="28" t="inlineStr">
        <is>
          <t>Phase 2</t>
        </is>
      </c>
      <c r="E5" s="23" t="inlineStr">
        <is>
          <t>High</t>
        </is>
      </c>
      <c r="F5" s="27" t="inlineStr">
        <is>
          <t>Not Started</t>
        </is>
      </c>
      <c r="G5" s="23" t="n"/>
      <c r="H5" s="23" t="n"/>
      <c r="I5" s="23" t="n"/>
      <c r="J5" s="27" t="inlineStr">
        <is>
          <t>Not Started</t>
        </is>
      </c>
      <c r="K5" s="23" t="n"/>
      <c r="L5" s="23" t="n"/>
      <c r="M5" s="23" t="n"/>
      <c r="N5" s="27" t="inlineStr">
        <is>
          <t>Not Started</t>
        </is>
      </c>
      <c r="O5" s="23" t="n"/>
      <c r="P5" s="24" t="inlineStr">
        <is>
          <t>Just-in-time privileged access</t>
        </is>
      </c>
      <c r="Q5" s="24" t="inlineStr">
        <is>
          <t>IAM-002</t>
        </is>
      </c>
    </row>
    <row r="6" ht="28.35" customHeight="1" s="21">
      <c r="A6" s="23" t="inlineStr">
        <is>
          <t>IAM-005</t>
        </is>
      </c>
      <c r="B6" s="24" t="inlineStr">
        <is>
          <t>Identity &amp; Access</t>
        </is>
      </c>
      <c r="C6" s="24" t="inlineStr">
        <is>
          <t>Entra Domain Services</t>
        </is>
      </c>
      <c r="D6" s="28" t="inlineStr">
        <is>
          <t>Phase 2</t>
        </is>
      </c>
      <c r="E6" s="23" t="inlineStr">
        <is>
          <t>Medium</t>
        </is>
      </c>
      <c r="F6" s="27" t="inlineStr">
        <is>
          <t>Not Started</t>
        </is>
      </c>
      <c r="G6" s="23" t="n"/>
      <c r="H6" s="23" t="n"/>
      <c r="I6" s="23" t="n"/>
      <c r="J6" s="27" t="inlineStr">
        <is>
          <t>Not Started</t>
        </is>
      </c>
      <c r="K6" s="23" t="n"/>
      <c r="L6" s="23" t="n"/>
      <c r="M6" s="23" t="n"/>
      <c r="N6" s="27" t="inlineStr">
        <is>
          <t>Not Started</t>
        </is>
      </c>
      <c r="O6" s="23" t="n"/>
      <c r="P6" s="24" t="inlineStr">
        <is>
          <t>Managed AD DS in cloud</t>
        </is>
      </c>
      <c r="Q6" s="24" t="inlineStr">
        <is>
          <t>IAM-001</t>
        </is>
      </c>
    </row>
    <row r="7" ht="28.35" customHeight="1" s="21">
      <c r="A7" s="23" t="inlineStr">
        <is>
          <t>SEC-001</t>
        </is>
      </c>
      <c r="B7" s="24" t="inlineStr">
        <is>
          <t>Security</t>
        </is>
      </c>
      <c r="C7" s="24" t="inlineStr">
        <is>
          <t>Defender for Endpoint</t>
        </is>
      </c>
      <c r="D7" s="25" t="inlineStr">
        <is>
          <t>Phase 1</t>
        </is>
      </c>
      <c r="E7" s="23" t="inlineStr">
        <is>
          <t>Critical</t>
        </is>
      </c>
      <c r="F7" s="27" t="inlineStr">
        <is>
          <t>Not Started</t>
        </is>
      </c>
      <c r="G7" s="23" t="n"/>
      <c r="H7" s="23" t="n"/>
      <c r="I7" s="23" t="n"/>
      <c r="J7" s="27" t="inlineStr">
        <is>
          <t>Not Started</t>
        </is>
      </c>
      <c r="K7" s="23" t="n"/>
      <c r="L7" s="23" t="n"/>
      <c r="M7" s="23" t="n"/>
      <c r="N7" s="27" t="inlineStr">
        <is>
          <t>Not Started</t>
        </is>
      </c>
      <c r="O7" s="23" t="n"/>
      <c r="P7" s="24" t="inlineStr">
        <is>
          <t>EDR/XDR, integrates with Intune</t>
        </is>
      </c>
      <c r="Q7" s="24" t="inlineStr">
        <is>
          <t>IAM-001, EPM-001</t>
        </is>
      </c>
    </row>
    <row r="8" ht="28.35" customHeight="1" s="21">
      <c r="A8" s="23" t="inlineStr">
        <is>
          <t>SEC-002</t>
        </is>
      </c>
      <c r="B8" s="24" t="inlineStr">
        <is>
          <t>Security</t>
        </is>
      </c>
      <c r="C8" s="24" t="inlineStr">
        <is>
          <t>Defender for Office 365</t>
        </is>
      </c>
      <c r="D8" s="25" t="inlineStr">
        <is>
          <t>Phase 1</t>
        </is>
      </c>
      <c r="E8" s="23" t="inlineStr">
        <is>
          <t>Critical</t>
        </is>
      </c>
      <c r="F8" s="27" t="inlineStr">
        <is>
          <t>Not Started</t>
        </is>
      </c>
      <c r="G8" s="23" t="n"/>
      <c r="H8" s="23" t="n"/>
      <c r="I8" s="23" t="n"/>
      <c r="J8" s="27" t="inlineStr">
        <is>
          <t>Not Started</t>
        </is>
      </c>
      <c r="K8" s="23" t="n"/>
      <c r="L8" s="23" t="n"/>
      <c r="M8" s="23" t="n"/>
      <c r="N8" s="27" t="inlineStr">
        <is>
          <t>Not Started</t>
        </is>
      </c>
      <c r="O8" s="23" t="n"/>
      <c r="P8" s="24" t="inlineStr">
        <is>
          <t>Email security, anti-phishing</t>
        </is>
      </c>
      <c r="Q8" s="24" t="inlineStr">
        <is>
          <t>IAM-001</t>
        </is>
      </c>
    </row>
    <row r="9" ht="28.35" customHeight="1" s="21">
      <c r="A9" s="23" t="inlineStr">
        <is>
          <t>SEC-003</t>
        </is>
      </c>
      <c r="B9" s="24" t="inlineStr">
        <is>
          <t>Security</t>
        </is>
      </c>
      <c r="C9" s="24" t="inlineStr">
        <is>
          <t>Defender for Identity</t>
        </is>
      </c>
      <c r="D9" s="25" t="inlineStr">
        <is>
          <t>Phase 1</t>
        </is>
      </c>
      <c r="E9" s="23" t="inlineStr">
        <is>
          <t>High</t>
        </is>
      </c>
      <c r="F9" s="27" t="inlineStr">
        <is>
          <t>Not Started</t>
        </is>
      </c>
      <c r="G9" s="23" t="n"/>
      <c r="H9" s="23" t="n"/>
      <c r="I9" s="23" t="n"/>
      <c r="J9" s="27" t="inlineStr">
        <is>
          <t>Not Started</t>
        </is>
      </c>
      <c r="K9" s="23" t="n"/>
      <c r="L9" s="23" t="n"/>
      <c r="M9" s="23" t="n"/>
      <c r="N9" s="27" t="inlineStr">
        <is>
          <t>Not Started</t>
        </is>
      </c>
      <c r="O9" s="23" t="n"/>
      <c r="P9" s="24" t="inlineStr">
        <is>
          <t>Protects on-prem AD</t>
        </is>
      </c>
      <c r="Q9" s="24" t="inlineStr">
        <is>
          <t>IAM-003</t>
        </is>
      </c>
    </row>
    <row r="10" ht="28.35" customHeight="1" s="21">
      <c r="A10" s="23" t="inlineStr">
        <is>
          <t>SEC-004</t>
        </is>
      </c>
      <c r="B10" s="24" t="inlineStr">
        <is>
          <t>Security</t>
        </is>
      </c>
      <c r="C10" s="24" t="inlineStr">
        <is>
          <t>Defender for Cloud</t>
        </is>
      </c>
      <c r="D10" s="28" t="inlineStr">
        <is>
          <t>Phase 2</t>
        </is>
      </c>
      <c r="E10" s="23" t="inlineStr">
        <is>
          <t>High</t>
        </is>
      </c>
      <c r="F10" s="27" t="inlineStr">
        <is>
          <t>Not Started</t>
        </is>
      </c>
      <c r="G10" s="23" t="n"/>
      <c r="H10" s="23" t="n"/>
      <c r="I10" s="23" t="n"/>
      <c r="J10" s="27" t="inlineStr">
        <is>
          <t>Not Started</t>
        </is>
      </c>
      <c r="K10" s="23" t="n"/>
      <c r="L10" s="23" t="n"/>
      <c r="M10" s="23" t="n"/>
      <c r="N10" s="27" t="inlineStr">
        <is>
          <t>Not Started</t>
        </is>
      </c>
      <c r="O10" s="23" t="n"/>
      <c r="P10" s="24" t="inlineStr">
        <is>
          <t>CSPM + workload protection</t>
        </is>
      </c>
      <c r="Q10" s="24" t="inlineStr">
        <is>
          <t>MON-001</t>
        </is>
      </c>
    </row>
    <row r="11" ht="28.35" customHeight="1" s="21">
      <c r="A11" s="23" t="inlineStr">
        <is>
          <t>SEC-005</t>
        </is>
      </c>
      <c r="B11" s="24" t="inlineStr">
        <is>
          <t>Security</t>
        </is>
      </c>
      <c r="C11" s="24" t="inlineStr">
        <is>
          <t>Microsoft Sentinel</t>
        </is>
      </c>
      <c r="D11" s="28" t="inlineStr">
        <is>
          <t>Phase 2</t>
        </is>
      </c>
      <c r="E11" s="23" t="inlineStr">
        <is>
          <t>Critical</t>
        </is>
      </c>
      <c r="F11" s="27" t="inlineStr">
        <is>
          <t>Not Started</t>
        </is>
      </c>
      <c r="G11" s="23" t="n"/>
      <c r="H11" s="23" t="n"/>
      <c r="I11" s="23" t="n"/>
      <c r="J11" s="27" t="inlineStr">
        <is>
          <t>Not Started</t>
        </is>
      </c>
      <c r="K11" s="23" t="n"/>
      <c r="L11" s="23" t="n"/>
      <c r="M11" s="23" t="n"/>
      <c r="N11" s="27" t="inlineStr">
        <is>
          <t>Not Started</t>
        </is>
      </c>
      <c r="O11" s="23" t="n"/>
      <c r="P11" s="24" t="inlineStr">
        <is>
          <t>SIEM/SOAR - Major MSP opportunity</t>
        </is>
      </c>
      <c r="Q11" s="24" t="inlineStr">
        <is>
          <t>MON-002</t>
        </is>
      </c>
    </row>
    <row r="12" ht="28.35" customHeight="1" s="21">
      <c r="A12" s="23" t="inlineStr">
        <is>
          <t>SEC-006</t>
        </is>
      </c>
      <c r="B12" s="24" t="inlineStr">
        <is>
          <t>Security</t>
        </is>
      </c>
      <c r="C12" s="24" t="inlineStr">
        <is>
          <t>Azure Key Vault</t>
        </is>
      </c>
      <c r="D12" s="28" t="inlineStr">
        <is>
          <t>Phase 2</t>
        </is>
      </c>
      <c r="E12" s="23" t="inlineStr">
        <is>
          <t>High</t>
        </is>
      </c>
      <c r="F12" s="27" t="inlineStr">
        <is>
          <t>Not Started</t>
        </is>
      </c>
      <c r="G12" s="23" t="n"/>
      <c r="H12" s="23" t="n"/>
      <c r="I12" s="23" t="n"/>
      <c r="J12" s="27" t="inlineStr">
        <is>
          <t>Not Started</t>
        </is>
      </c>
      <c r="K12" s="23" t="n"/>
      <c r="L12" s="23" t="n"/>
      <c r="M12" s="23" t="n"/>
      <c r="N12" s="27" t="inlineStr">
        <is>
          <t>Not Started</t>
        </is>
      </c>
      <c r="O12" s="23" t="n"/>
      <c r="P12" s="24" t="inlineStr">
        <is>
          <t>Secrets, keys, certificates</t>
        </is>
      </c>
      <c r="Q12" s="24" t="inlineStr">
        <is>
          <t>IAM-001</t>
        </is>
      </c>
    </row>
    <row r="13" ht="28.35" customHeight="1" s="21">
      <c r="A13" s="23" t="inlineStr">
        <is>
          <t>SEC-007</t>
        </is>
      </c>
      <c r="B13" s="24" t="inlineStr">
        <is>
          <t>Security</t>
        </is>
      </c>
      <c r="C13" s="24" t="inlineStr">
        <is>
          <t>Defender for Cloud Apps</t>
        </is>
      </c>
      <c r="D13" s="28" t="inlineStr">
        <is>
          <t>Phase 2</t>
        </is>
      </c>
      <c r="E13" s="23" t="inlineStr">
        <is>
          <t>High</t>
        </is>
      </c>
      <c r="F13" s="27" t="inlineStr">
        <is>
          <t>Not Started</t>
        </is>
      </c>
      <c r="G13" s="23" t="n"/>
      <c r="H13" s="23" t="n"/>
      <c r="I13" s="23" t="n"/>
      <c r="J13" s="27" t="inlineStr">
        <is>
          <t>Not Started</t>
        </is>
      </c>
      <c r="K13" s="23" t="n"/>
      <c r="L13" s="23" t="n"/>
      <c r="M13" s="23" t="n"/>
      <c r="N13" s="27" t="inlineStr">
        <is>
          <t>Not Started</t>
        </is>
      </c>
      <c r="O13" s="23" t="n"/>
      <c r="P13" s="24" t="inlineStr">
        <is>
          <t>CASB for SaaS security</t>
        </is>
      </c>
      <c r="Q13" s="24" t="inlineStr">
        <is>
          <t>IAM-002</t>
        </is>
      </c>
    </row>
    <row r="14" ht="28.35" customHeight="1" s="21">
      <c r="A14" s="23" t="inlineStr">
        <is>
          <t>SEC-008</t>
        </is>
      </c>
      <c r="B14" s="24" t="inlineStr">
        <is>
          <t>Security</t>
        </is>
      </c>
      <c r="C14" s="24" t="inlineStr">
        <is>
          <t>Azure Firewall</t>
        </is>
      </c>
      <c r="D14" s="28" t="inlineStr">
        <is>
          <t>Phase 2</t>
        </is>
      </c>
      <c r="E14" s="23" t="inlineStr">
        <is>
          <t>Medium</t>
        </is>
      </c>
      <c r="F14" s="27" t="inlineStr">
        <is>
          <t>Not Started</t>
        </is>
      </c>
      <c r="G14" s="23" t="n"/>
      <c r="H14" s="23" t="n"/>
      <c r="I14" s="23" t="n"/>
      <c r="J14" s="27" t="inlineStr">
        <is>
          <t>Not Started</t>
        </is>
      </c>
      <c r="K14" s="23" t="n"/>
      <c r="L14" s="23" t="n"/>
      <c r="M14" s="23" t="n"/>
      <c r="N14" s="27" t="inlineStr">
        <is>
          <t>Not Started</t>
        </is>
      </c>
      <c r="O14" s="23" t="n"/>
      <c r="P14" s="24" t="inlineStr">
        <is>
          <t>Cloud-native firewall</t>
        </is>
      </c>
      <c r="Q14" s="24" t="inlineStr">
        <is>
          <t>NET-001</t>
        </is>
      </c>
    </row>
    <row r="15" ht="28.35" customHeight="1" s="21">
      <c r="A15" s="23" t="inlineStr">
        <is>
          <t>EPM-001</t>
        </is>
      </c>
      <c r="B15" s="24" t="inlineStr">
        <is>
          <t>Endpoint Mgmt</t>
        </is>
      </c>
      <c r="C15" s="24" t="inlineStr">
        <is>
          <t>Microsoft Intune</t>
        </is>
      </c>
      <c r="D15" s="25" t="inlineStr">
        <is>
          <t>Phase 1</t>
        </is>
      </c>
      <c r="E15" s="23" t="inlineStr">
        <is>
          <t>Critical</t>
        </is>
      </c>
      <c r="F15" s="27" t="inlineStr">
        <is>
          <t>Not Started</t>
        </is>
      </c>
      <c r="G15" s="23" t="n"/>
      <c r="H15" s="23" t="n"/>
      <c r="I15" s="23" t="n"/>
      <c r="J15" s="27" t="inlineStr">
        <is>
          <t>Not Started</t>
        </is>
      </c>
      <c r="K15" s="23" t="n"/>
      <c r="L15" s="23" t="n"/>
      <c r="M15" s="23" t="n"/>
      <c r="N15" s="27" t="inlineStr">
        <is>
          <t>Not Started</t>
        </is>
      </c>
      <c r="O15" s="23" t="n"/>
      <c r="P15" s="24" t="inlineStr">
        <is>
          <t>MDM/MAM for all devices</t>
        </is>
      </c>
      <c r="Q15" s="24" t="inlineStr">
        <is>
          <t>IAM-001</t>
        </is>
      </c>
    </row>
    <row r="16" ht="28.35" customHeight="1" s="21">
      <c r="A16" s="23" t="inlineStr">
        <is>
          <t>EPM-002</t>
        </is>
      </c>
      <c r="B16" s="24" t="inlineStr">
        <is>
          <t>Endpoint Mgmt</t>
        </is>
      </c>
      <c r="C16" s="24" t="inlineStr">
        <is>
          <t>Windows Autopilot</t>
        </is>
      </c>
      <c r="D16" s="25" t="inlineStr">
        <is>
          <t>Phase 1</t>
        </is>
      </c>
      <c r="E16" s="23" t="inlineStr">
        <is>
          <t>High</t>
        </is>
      </c>
      <c r="F16" s="27" t="inlineStr">
        <is>
          <t>Not Started</t>
        </is>
      </c>
      <c r="G16" s="23" t="n"/>
      <c r="H16" s="23" t="n"/>
      <c r="I16" s="23" t="n"/>
      <c r="J16" s="27" t="inlineStr">
        <is>
          <t>Not Started</t>
        </is>
      </c>
      <c r="K16" s="23" t="n"/>
      <c r="L16" s="23" t="n"/>
      <c r="M16" s="23" t="n"/>
      <c r="N16" s="27" t="inlineStr">
        <is>
          <t>Not Started</t>
        </is>
      </c>
      <c r="O16" s="23" t="n"/>
      <c r="P16" s="24" t="inlineStr">
        <is>
          <t>Zero-touch provisioning</t>
        </is>
      </c>
      <c r="Q16" s="24" t="inlineStr">
        <is>
          <t>EPM-001</t>
        </is>
      </c>
    </row>
    <row r="17" ht="28.35" customHeight="1" s="21">
      <c r="A17" s="23" t="inlineStr">
        <is>
          <t>EPM-003</t>
        </is>
      </c>
      <c r="B17" s="24" t="inlineStr">
        <is>
          <t>Endpoint Mgmt</t>
        </is>
      </c>
      <c r="C17" s="24" t="inlineStr">
        <is>
          <t>Windows 365 Cloud PC</t>
        </is>
      </c>
      <c r="D17" s="28" t="inlineStr">
        <is>
          <t>Phase 2</t>
        </is>
      </c>
      <c r="E17" s="23" t="inlineStr">
        <is>
          <t>High</t>
        </is>
      </c>
      <c r="F17" s="27" t="inlineStr">
        <is>
          <t>Not Started</t>
        </is>
      </c>
      <c r="G17" s="23" t="n"/>
      <c r="H17" s="23" t="n"/>
      <c r="I17" s="23" t="n"/>
      <c r="J17" s="27" t="inlineStr">
        <is>
          <t>Not Started</t>
        </is>
      </c>
      <c r="K17" s="23" t="n"/>
      <c r="L17" s="23" t="n"/>
      <c r="M17" s="23" t="n"/>
      <c r="N17" s="27" t="inlineStr">
        <is>
          <t>Not Started</t>
        </is>
      </c>
      <c r="O17" s="23" t="n"/>
      <c r="P17" s="24" t="inlineStr">
        <is>
          <t>Fixed-price cloud desktops</t>
        </is>
      </c>
      <c r="Q17" s="24" t="inlineStr">
        <is>
          <t>IAM-001, EPM-001</t>
        </is>
      </c>
    </row>
    <row r="18" ht="28.35" customHeight="1" s="21">
      <c r="A18" s="23" t="inlineStr">
        <is>
          <t>EPM-004</t>
        </is>
      </c>
      <c r="B18" s="24" t="inlineStr">
        <is>
          <t>Endpoint Mgmt</t>
        </is>
      </c>
      <c r="C18" s="24" t="inlineStr">
        <is>
          <t>Intune Suite</t>
        </is>
      </c>
      <c r="D18" s="28" t="inlineStr">
        <is>
          <t>Phase 2</t>
        </is>
      </c>
      <c r="E18" s="23" t="inlineStr">
        <is>
          <t>Medium</t>
        </is>
      </c>
      <c r="F18" s="27" t="inlineStr">
        <is>
          <t>Not Started</t>
        </is>
      </c>
      <c r="G18" s="23" t="n"/>
      <c r="H18" s="23" t="n"/>
      <c r="I18" s="23" t="n"/>
      <c r="J18" s="27" t="inlineStr">
        <is>
          <t>Not Started</t>
        </is>
      </c>
      <c r="K18" s="23" t="n"/>
      <c r="L18" s="23" t="n"/>
      <c r="M18" s="23" t="n"/>
      <c r="N18" s="27" t="inlineStr">
        <is>
          <t>Not Started</t>
        </is>
      </c>
      <c r="O18" s="23" t="n"/>
      <c r="P18" s="24" t="inlineStr">
        <is>
          <t>Advanced analytics, remote help</t>
        </is>
      </c>
      <c r="Q18" s="24" t="inlineStr">
        <is>
          <t>EPM-001</t>
        </is>
      </c>
    </row>
    <row r="19" ht="28.35" customHeight="1" s="21">
      <c r="A19" s="23" t="inlineStr">
        <is>
          <t>VDI-001</t>
        </is>
      </c>
      <c r="B19" s="24" t="inlineStr">
        <is>
          <t>Virtual Desktop</t>
        </is>
      </c>
      <c r="C19" s="24" t="inlineStr">
        <is>
          <t>Azure Virtual Desktop</t>
        </is>
      </c>
      <c r="D19" s="29" t="inlineStr">
        <is>
          <t>Phase 3</t>
        </is>
      </c>
      <c r="E19" s="23" t="inlineStr">
        <is>
          <t>High</t>
        </is>
      </c>
      <c r="F19" s="27" t="inlineStr">
        <is>
          <t>Not Started</t>
        </is>
      </c>
      <c r="G19" s="23" t="n"/>
      <c r="H19" s="23" t="n"/>
      <c r="I19" s="23" t="n"/>
      <c r="J19" s="27" t="inlineStr">
        <is>
          <t>Not Started</t>
        </is>
      </c>
      <c r="K19" s="23" t="n"/>
      <c r="L19" s="23" t="n"/>
      <c r="M19" s="23" t="n"/>
      <c r="N19" s="27" t="inlineStr">
        <is>
          <t>Not Started</t>
        </is>
      </c>
      <c r="O19" s="23" t="n"/>
      <c r="P19" s="24" t="inlineStr">
        <is>
          <t>Full VDI solution</t>
        </is>
      </c>
      <c r="Q19" s="24" t="inlineStr">
        <is>
          <t>NET-001, STR-001, IAM-001</t>
        </is>
      </c>
    </row>
    <row r="20" ht="28.35" customHeight="1" s="21">
      <c r="A20" s="23" t="inlineStr">
        <is>
          <t>VDI-002</t>
        </is>
      </c>
      <c r="B20" s="24" t="inlineStr">
        <is>
          <t>Virtual Desktop</t>
        </is>
      </c>
      <c r="C20" s="24" t="inlineStr">
        <is>
          <t>FSLogix Profile Containers</t>
        </is>
      </c>
      <c r="D20" s="29" t="inlineStr">
        <is>
          <t>Phase 3</t>
        </is>
      </c>
      <c r="E20" s="23" t="inlineStr">
        <is>
          <t>High</t>
        </is>
      </c>
      <c r="F20" s="27" t="inlineStr">
        <is>
          <t>Not Started</t>
        </is>
      </c>
      <c r="G20" s="23" t="n"/>
      <c r="H20" s="23" t="n"/>
      <c r="I20" s="23" t="n"/>
      <c r="J20" s="27" t="inlineStr">
        <is>
          <t>Not Started</t>
        </is>
      </c>
      <c r="K20" s="23" t="n"/>
      <c r="L20" s="23" t="n"/>
      <c r="M20" s="23" t="n"/>
      <c r="N20" s="27" t="inlineStr">
        <is>
          <t>Not Started</t>
        </is>
      </c>
      <c r="O20" s="23" t="n"/>
      <c r="P20" s="24" t="inlineStr">
        <is>
          <t>Profile management for AVD</t>
        </is>
      </c>
      <c r="Q20" s="24" t="inlineStr">
        <is>
          <t>VDI-001</t>
        </is>
      </c>
    </row>
    <row r="21" ht="28.35" customHeight="1" s="21">
      <c r="A21" s="23" t="inlineStr">
        <is>
          <t>VDI-003</t>
        </is>
      </c>
      <c r="B21" s="24" t="inlineStr">
        <is>
          <t>Virtual Desktop</t>
        </is>
      </c>
      <c r="C21" s="24" t="inlineStr">
        <is>
          <t>Nerdio Manager for MSP</t>
        </is>
      </c>
      <c r="D21" s="28" t="inlineStr">
        <is>
          <t>Phase 2</t>
        </is>
      </c>
      <c r="E21" s="23" t="inlineStr">
        <is>
          <t>High</t>
        </is>
      </c>
      <c r="F21" s="27" t="inlineStr">
        <is>
          <t>Not Started</t>
        </is>
      </c>
      <c r="G21" s="23" t="n"/>
      <c r="H21" s="23" t="n"/>
      <c r="I21" s="23" t="n"/>
      <c r="J21" s="27" t="inlineStr">
        <is>
          <t>Not Started</t>
        </is>
      </c>
      <c r="K21" s="23" t="n"/>
      <c r="L21" s="23" t="n"/>
      <c r="M21" s="23" t="n"/>
      <c r="N21" s="27" t="inlineStr">
        <is>
          <t>Not Started</t>
        </is>
      </c>
      <c r="O21" s="23" t="n"/>
      <c r="P21" s="24" t="inlineStr">
        <is>
          <t>Third-party AVD automation</t>
        </is>
      </c>
      <c r="Q21" s="24" t="inlineStr">
        <is>
          <t>EPM-003</t>
        </is>
      </c>
    </row>
    <row r="22" ht="28.35" customHeight="1" s="21">
      <c r="A22" s="23" t="inlineStr">
        <is>
          <t>NET-001</t>
        </is>
      </c>
      <c r="B22" s="24" t="inlineStr">
        <is>
          <t>Networking</t>
        </is>
      </c>
      <c r="C22" s="24" t="inlineStr">
        <is>
          <t>Azure Virtual Network</t>
        </is>
      </c>
      <c r="D22" s="25" t="inlineStr">
        <is>
          <t>Phase 1</t>
        </is>
      </c>
      <c r="E22" s="23" t="inlineStr">
        <is>
          <t>Critical</t>
        </is>
      </c>
      <c r="F22" s="27" t="inlineStr">
        <is>
          <t>Not Started</t>
        </is>
      </c>
      <c r="G22" s="23" t="n"/>
      <c r="H22" s="23" t="n"/>
      <c r="I22" s="23" t="n"/>
      <c r="J22" s="27" t="inlineStr">
        <is>
          <t>Not Started</t>
        </is>
      </c>
      <c r="K22" s="23" t="n"/>
      <c r="L22" s="23" t="n"/>
      <c r="M22" s="23" t="n"/>
      <c r="N22" s="27" t="inlineStr">
        <is>
          <t>Not Started</t>
        </is>
      </c>
      <c r="O22" s="23" t="n"/>
      <c r="P22" s="24" t="inlineStr">
        <is>
          <t>Foundation: subnets, NSGs</t>
        </is>
      </c>
      <c r="Q22" s="24" t="inlineStr">
        <is>
          <t>None</t>
        </is>
      </c>
    </row>
    <row r="23" ht="28.35" customHeight="1" s="21">
      <c r="A23" s="23" t="inlineStr">
        <is>
          <t>NET-002</t>
        </is>
      </c>
      <c r="B23" s="24" t="inlineStr">
        <is>
          <t>Networking</t>
        </is>
      </c>
      <c r="C23" s="24" t="inlineStr">
        <is>
          <t>Azure VPN Gateway</t>
        </is>
      </c>
      <c r="D23" s="25" t="inlineStr">
        <is>
          <t>Phase 1</t>
        </is>
      </c>
      <c r="E23" s="23" t="inlineStr">
        <is>
          <t>Critical</t>
        </is>
      </c>
      <c r="F23" s="27" t="inlineStr">
        <is>
          <t>Not Started</t>
        </is>
      </c>
      <c r="G23" s="23" t="n"/>
      <c r="H23" s="23" t="n"/>
      <c r="I23" s="23" t="n"/>
      <c r="J23" s="27" t="inlineStr">
        <is>
          <t>Not Started</t>
        </is>
      </c>
      <c r="K23" s="23" t="n"/>
      <c r="L23" s="23" t="n"/>
      <c r="M23" s="23" t="n"/>
      <c r="N23" s="27" t="inlineStr">
        <is>
          <t>Not Started</t>
        </is>
      </c>
      <c r="O23" s="23" t="n"/>
      <c r="P23" s="24" t="inlineStr">
        <is>
          <t>Site-to-site VPN</t>
        </is>
      </c>
      <c r="Q23" s="24" t="inlineStr">
        <is>
          <t>NET-001</t>
        </is>
      </c>
    </row>
    <row r="24" ht="28.35" customHeight="1" s="21">
      <c r="A24" s="23" t="inlineStr">
        <is>
          <t>NET-003</t>
        </is>
      </c>
      <c r="B24" s="24" t="inlineStr">
        <is>
          <t>Networking</t>
        </is>
      </c>
      <c r="C24" s="24" t="inlineStr">
        <is>
          <t>Azure DNS</t>
        </is>
      </c>
      <c r="D24" s="25" t="inlineStr">
        <is>
          <t>Phase 1</t>
        </is>
      </c>
      <c r="E24" s="23" t="inlineStr">
        <is>
          <t>High</t>
        </is>
      </c>
      <c r="F24" s="27" t="inlineStr">
        <is>
          <t>Not Started</t>
        </is>
      </c>
      <c r="G24" s="23" t="n"/>
      <c r="H24" s="23" t="n"/>
      <c r="I24" s="23" t="n"/>
      <c r="J24" s="27" t="inlineStr">
        <is>
          <t>Not Started</t>
        </is>
      </c>
      <c r="K24" s="23" t="n"/>
      <c r="L24" s="23" t="n"/>
      <c r="M24" s="23" t="n"/>
      <c r="N24" s="27" t="inlineStr">
        <is>
          <t>Not Started</t>
        </is>
      </c>
      <c r="O24" s="23" t="n"/>
      <c r="P24" s="24" t="inlineStr">
        <is>
          <t>DNS hosting, private zones</t>
        </is>
      </c>
      <c r="Q24" s="24" t="inlineStr">
        <is>
          <t>NET-001</t>
        </is>
      </c>
    </row>
    <row r="25" ht="28.35" customHeight="1" s="21">
      <c r="A25" s="23" t="inlineStr">
        <is>
          <t>NET-004</t>
        </is>
      </c>
      <c r="B25" s="24" t="inlineStr">
        <is>
          <t>Networking</t>
        </is>
      </c>
      <c r="C25" s="24" t="inlineStr">
        <is>
          <t>Azure Bastion</t>
        </is>
      </c>
      <c r="D25" s="28" t="inlineStr">
        <is>
          <t>Phase 2</t>
        </is>
      </c>
      <c r="E25" s="23" t="inlineStr">
        <is>
          <t>High</t>
        </is>
      </c>
      <c r="F25" s="27" t="inlineStr">
        <is>
          <t>Not Started</t>
        </is>
      </c>
      <c r="G25" s="23" t="n"/>
      <c r="H25" s="23" t="n"/>
      <c r="I25" s="23" t="n"/>
      <c r="J25" s="27" t="inlineStr">
        <is>
          <t>Not Started</t>
        </is>
      </c>
      <c r="K25" s="23" t="n"/>
      <c r="L25" s="23" t="n"/>
      <c r="M25" s="23" t="n"/>
      <c r="N25" s="27" t="inlineStr">
        <is>
          <t>Not Started</t>
        </is>
      </c>
      <c r="O25" s="23" t="n"/>
      <c r="P25" s="24" t="inlineStr">
        <is>
          <t>Secure RDP/SSH without public IPs</t>
        </is>
      </c>
      <c r="Q25" s="24" t="inlineStr">
        <is>
          <t>NET-001</t>
        </is>
      </c>
    </row>
    <row r="26" ht="28.35" customHeight="1" s="21">
      <c r="A26" s="23" t="inlineStr">
        <is>
          <t>NET-005</t>
        </is>
      </c>
      <c r="B26" s="24" t="inlineStr">
        <is>
          <t>Networking</t>
        </is>
      </c>
      <c r="C26" s="24" t="inlineStr">
        <is>
          <t>Azure Private Link</t>
        </is>
      </c>
      <c r="D26" s="28" t="inlineStr">
        <is>
          <t>Phase 2</t>
        </is>
      </c>
      <c r="E26" s="23" t="inlineStr">
        <is>
          <t>High</t>
        </is>
      </c>
      <c r="F26" s="27" t="inlineStr">
        <is>
          <t>Not Started</t>
        </is>
      </c>
      <c r="G26" s="23" t="n"/>
      <c r="H26" s="23" t="n"/>
      <c r="I26" s="23" t="n"/>
      <c r="J26" s="27" t="inlineStr">
        <is>
          <t>Not Started</t>
        </is>
      </c>
      <c r="K26" s="23" t="n"/>
      <c r="L26" s="23" t="n"/>
      <c r="M26" s="23" t="n"/>
      <c r="N26" s="27" t="inlineStr">
        <is>
          <t>Not Started</t>
        </is>
      </c>
      <c r="O26" s="23" t="n"/>
      <c r="P26" s="24" t="inlineStr">
        <is>
          <t>Private access to PaaS services</t>
        </is>
      </c>
      <c r="Q26" s="24" t="inlineStr">
        <is>
          <t>NET-001</t>
        </is>
      </c>
    </row>
    <row r="27" ht="28.35" customHeight="1" s="21">
      <c r="A27" s="23" t="inlineStr">
        <is>
          <t>NET-006</t>
        </is>
      </c>
      <c r="B27" s="24" t="inlineStr">
        <is>
          <t>Networking</t>
        </is>
      </c>
      <c r="C27" s="24" t="inlineStr">
        <is>
          <t>Azure Load Balancer</t>
        </is>
      </c>
      <c r="D27" s="28" t="inlineStr">
        <is>
          <t>Phase 2</t>
        </is>
      </c>
      <c r="E27" s="23" t="inlineStr">
        <is>
          <t>Medium</t>
        </is>
      </c>
      <c r="F27" s="27" t="inlineStr">
        <is>
          <t>Not Started</t>
        </is>
      </c>
      <c r="G27" s="23" t="n"/>
      <c r="H27" s="23" t="n"/>
      <c r="I27" s="23" t="n"/>
      <c r="J27" s="27" t="inlineStr">
        <is>
          <t>Not Started</t>
        </is>
      </c>
      <c r="K27" s="23" t="n"/>
      <c r="L27" s="23" t="n"/>
      <c r="M27" s="23" t="n"/>
      <c r="N27" s="27" t="inlineStr">
        <is>
          <t>Not Started</t>
        </is>
      </c>
      <c r="O27" s="23" t="n"/>
      <c r="P27" s="24" t="inlineStr">
        <is>
          <t>Layer 4 load balancing</t>
        </is>
      </c>
      <c r="Q27" s="24" t="inlineStr">
        <is>
          <t>NET-001</t>
        </is>
      </c>
    </row>
    <row r="28" ht="28.35" customHeight="1" s="21">
      <c r="A28" s="23" t="inlineStr">
        <is>
          <t>NET-007</t>
        </is>
      </c>
      <c r="B28" s="24" t="inlineStr">
        <is>
          <t>Networking</t>
        </is>
      </c>
      <c r="C28" s="24" t="inlineStr">
        <is>
          <t>Azure ExpressRoute</t>
        </is>
      </c>
      <c r="D28" s="29" t="inlineStr">
        <is>
          <t>Phase 3</t>
        </is>
      </c>
      <c r="E28" s="23" t="inlineStr">
        <is>
          <t>Medium</t>
        </is>
      </c>
      <c r="F28" s="27" t="inlineStr">
        <is>
          <t>Not Started</t>
        </is>
      </c>
      <c r="G28" s="23" t="n"/>
      <c r="H28" s="23" t="n"/>
      <c r="I28" s="23" t="n"/>
      <c r="J28" s="27" t="inlineStr">
        <is>
          <t>Not Started</t>
        </is>
      </c>
      <c r="K28" s="23" t="n"/>
      <c r="L28" s="23" t="n"/>
      <c r="M28" s="23" t="n"/>
      <c r="N28" s="27" t="inlineStr">
        <is>
          <t>Not Started</t>
        </is>
      </c>
      <c r="O28" s="23" t="n"/>
      <c r="P28" s="24" t="inlineStr">
        <is>
          <t>Dedicated private connection</t>
        </is>
      </c>
      <c r="Q28" s="24" t="inlineStr">
        <is>
          <t>NET-001</t>
        </is>
      </c>
    </row>
    <row r="29" ht="28.35" customHeight="1" s="21">
      <c r="A29" s="23" t="inlineStr">
        <is>
          <t>CMP-001</t>
        </is>
      </c>
      <c r="B29" s="24" t="inlineStr">
        <is>
          <t>Compute</t>
        </is>
      </c>
      <c r="C29" s="24" t="inlineStr">
        <is>
          <t>Azure Virtual Machines</t>
        </is>
      </c>
      <c r="D29" s="25" t="inlineStr">
        <is>
          <t>Phase 1</t>
        </is>
      </c>
      <c r="E29" s="23" t="inlineStr">
        <is>
          <t>Critical</t>
        </is>
      </c>
      <c r="F29" s="27" t="inlineStr">
        <is>
          <t>Not Started</t>
        </is>
      </c>
      <c r="G29" s="23" t="n"/>
      <c r="H29" s="23" t="n"/>
      <c r="I29" s="23" t="n"/>
      <c r="J29" s="27" t="inlineStr">
        <is>
          <t>Not Started</t>
        </is>
      </c>
      <c r="K29" s="23" t="n"/>
      <c r="L29" s="23" t="n"/>
      <c r="M29" s="23" t="n"/>
      <c r="N29" s="27" t="inlineStr">
        <is>
          <t>Not Started</t>
        </is>
      </c>
      <c r="O29" s="23" t="n"/>
      <c r="P29" s="24" t="inlineStr">
        <is>
          <t>IaaS VMs</t>
        </is>
      </c>
      <c r="Q29" s="24" t="inlineStr">
        <is>
          <t>NET-001, STR-003</t>
        </is>
      </c>
    </row>
    <row r="30" ht="28.35" customHeight="1" s="21">
      <c r="A30" s="23" t="inlineStr">
        <is>
          <t>CMP-002</t>
        </is>
      </c>
      <c r="B30" s="24" t="inlineStr">
        <is>
          <t>Compute</t>
        </is>
      </c>
      <c r="C30" s="24" t="inlineStr">
        <is>
          <t>Reserved Instances</t>
        </is>
      </c>
      <c r="D30" s="25" t="inlineStr">
        <is>
          <t>Phase 1</t>
        </is>
      </c>
      <c r="E30" s="23" t="inlineStr">
        <is>
          <t>High</t>
        </is>
      </c>
      <c r="F30" s="27" t="inlineStr">
        <is>
          <t>Not Started</t>
        </is>
      </c>
      <c r="G30" s="23" t="n"/>
      <c r="H30" s="23" t="n"/>
      <c r="I30" s="23" t="n"/>
      <c r="J30" s="27" t="inlineStr">
        <is>
          <t>Not Started</t>
        </is>
      </c>
      <c r="K30" s="23" t="n"/>
      <c r="L30" s="23" t="n"/>
      <c r="M30" s="23" t="n"/>
      <c r="N30" s="27" t="inlineStr">
        <is>
          <t>Not Started</t>
        </is>
      </c>
      <c r="O30" s="23" t="n"/>
      <c r="P30" s="24" t="inlineStr">
        <is>
          <t>1-3 year commitments, 30-72% savings</t>
        </is>
      </c>
      <c r="Q30" s="24" t="inlineStr">
        <is>
          <t>CMP-001</t>
        </is>
      </c>
    </row>
    <row r="31" ht="28.35" customHeight="1" s="21">
      <c r="A31" s="23" t="inlineStr">
        <is>
          <t>CMP-003</t>
        </is>
      </c>
      <c r="B31" s="24" t="inlineStr">
        <is>
          <t>Compute</t>
        </is>
      </c>
      <c r="C31" s="24" t="inlineStr">
        <is>
          <t>Azure Functions</t>
        </is>
      </c>
      <c r="D31" s="29" t="inlineStr">
        <is>
          <t>Phase 3</t>
        </is>
      </c>
      <c r="E31" s="23" t="inlineStr">
        <is>
          <t>Medium</t>
        </is>
      </c>
      <c r="F31" s="27" t="inlineStr">
        <is>
          <t>Not Started</t>
        </is>
      </c>
      <c r="G31" s="23" t="n"/>
      <c r="H31" s="23" t="n"/>
      <c r="I31" s="23" t="n"/>
      <c r="J31" s="27" t="inlineStr">
        <is>
          <t>Not Started</t>
        </is>
      </c>
      <c r="K31" s="23" t="n"/>
      <c r="L31" s="23" t="n"/>
      <c r="M31" s="23" t="n"/>
      <c r="N31" s="27" t="inlineStr">
        <is>
          <t>Not Started</t>
        </is>
      </c>
      <c r="O31" s="23" t="n"/>
      <c r="P31" s="24" t="inlineStr">
        <is>
          <t>Serverless compute</t>
        </is>
      </c>
      <c r="Q31" s="24" t="inlineStr">
        <is>
          <t>IAM-001</t>
        </is>
      </c>
    </row>
    <row r="32" ht="28.35" customHeight="1" s="21">
      <c r="A32" s="23" t="inlineStr">
        <is>
          <t>CMP-004</t>
        </is>
      </c>
      <c r="B32" s="24" t="inlineStr">
        <is>
          <t>Compute</t>
        </is>
      </c>
      <c r="C32" s="24" t="inlineStr">
        <is>
          <t>Azure App Service</t>
        </is>
      </c>
      <c r="D32" s="29" t="inlineStr">
        <is>
          <t>Phase 3</t>
        </is>
      </c>
      <c r="E32" s="23" t="inlineStr">
        <is>
          <t>Medium</t>
        </is>
      </c>
      <c r="F32" s="27" t="inlineStr">
        <is>
          <t>Not Started</t>
        </is>
      </c>
      <c r="G32" s="23" t="n"/>
      <c r="H32" s="23" t="n"/>
      <c r="I32" s="23" t="n"/>
      <c r="J32" s="27" t="inlineStr">
        <is>
          <t>Not Started</t>
        </is>
      </c>
      <c r="K32" s="23" t="n"/>
      <c r="L32" s="23" t="n"/>
      <c r="M32" s="23" t="n"/>
      <c r="N32" s="27" t="inlineStr">
        <is>
          <t>Not Started</t>
        </is>
      </c>
      <c r="O32" s="23" t="n"/>
      <c r="P32" s="24" t="inlineStr">
        <is>
          <t>PaaS for web apps</t>
        </is>
      </c>
      <c r="Q32" s="24" t="inlineStr">
        <is>
          <t>NET-001</t>
        </is>
      </c>
    </row>
    <row r="33" ht="28.35" customHeight="1" s="21">
      <c r="A33" s="23" t="inlineStr">
        <is>
          <t>CMP-005</t>
        </is>
      </c>
      <c r="B33" s="24" t="inlineStr">
        <is>
          <t>Compute</t>
        </is>
      </c>
      <c r="C33" s="24" t="inlineStr">
        <is>
          <t>Azure Kubernetes Service</t>
        </is>
      </c>
      <c r="D33" s="30" t="inlineStr">
        <is>
          <t>Phase 4</t>
        </is>
      </c>
      <c r="E33" s="23" t="inlineStr">
        <is>
          <t>Low</t>
        </is>
      </c>
      <c r="F33" s="27" t="inlineStr">
        <is>
          <t>Not Started</t>
        </is>
      </c>
      <c r="G33" s="23" t="n"/>
      <c r="H33" s="23" t="n"/>
      <c r="I33" s="23" t="n"/>
      <c r="J33" s="27" t="inlineStr">
        <is>
          <t>Not Started</t>
        </is>
      </c>
      <c r="K33" s="23" t="n"/>
      <c r="L33" s="23" t="n"/>
      <c r="M33" s="23" t="n"/>
      <c r="N33" s="27" t="inlineStr">
        <is>
          <t>Not Started</t>
        </is>
      </c>
      <c r="O33" s="23" t="n"/>
      <c r="P33" s="24" t="inlineStr">
        <is>
          <t>Managed Kubernetes</t>
        </is>
      </c>
      <c r="Q33" s="24" t="inlineStr">
        <is>
          <t>NET-001, IAM-001</t>
        </is>
      </c>
    </row>
    <row r="34" ht="28.35" customHeight="1" s="21">
      <c r="A34" s="23" t="inlineStr">
        <is>
          <t>STR-001</t>
        </is>
      </c>
      <c r="B34" s="24" t="inlineStr">
        <is>
          <t>Storage</t>
        </is>
      </c>
      <c r="C34" s="24" t="inlineStr">
        <is>
          <t>Azure Blob Storage</t>
        </is>
      </c>
      <c r="D34" s="25" t="inlineStr">
        <is>
          <t>Phase 1</t>
        </is>
      </c>
      <c r="E34" s="23" t="inlineStr">
        <is>
          <t>Critical</t>
        </is>
      </c>
      <c r="F34" s="27" t="inlineStr">
        <is>
          <t>Not Started</t>
        </is>
      </c>
      <c r="G34" s="23" t="n"/>
      <c r="H34" s="23" t="n"/>
      <c r="I34" s="23" t="n"/>
      <c r="J34" s="27" t="inlineStr">
        <is>
          <t>Not Started</t>
        </is>
      </c>
      <c r="K34" s="23" t="n"/>
      <c r="L34" s="23" t="n"/>
      <c r="M34" s="23" t="n"/>
      <c r="N34" s="27" t="inlineStr">
        <is>
          <t>Not Started</t>
        </is>
      </c>
      <c r="O34" s="23" t="n"/>
      <c r="P34" s="24" t="inlineStr">
        <is>
          <t>Object storage, tiering</t>
        </is>
      </c>
      <c r="Q34" s="24" t="inlineStr">
        <is>
          <t>IAM-001</t>
        </is>
      </c>
    </row>
    <row r="35" ht="28.35" customHeight="1" s="21">
      <c r="A35" s="23" t="inlineStr">
        <is>
          <t>STR-002</t>
        </is>
      </c>
      <c r="B35" s="24" t="inlineStr">
        <is>
          <t>Storage</t>
        </is>
      </c>
      <c r="C35" s="24" t="inlineStr">
        <is>
          <t>Azure Files</t>
        </is>
      </c>
      <c r="D35" s="25" t="inlineStr">
        <is>
          <t>Phase 1</t>
        </is>
      </c>
      <c r="E35" s="23" t="inlineStr">
        <is>
          <t>High</t>
        </is>
      </c>
      <c r="F35" s="27" t="inlineStr">
        <is>
          <t>Not Started</t>
        </is>
      </c>
      <c r="G35" s="23" t="n"/>
      <c r="H35" s="23" t="n"/>
      <c r="I35" s="23" t="n"/>
      <c r="J35" s="27" t="inlineStr">
        <is>
          <t>Not Started</t>
        </is>
      </c>
      <c r="K35" s="23" t="n"/>
      <c r="L35" s="23" t="n"/>
      <c r="M35" s="23" t="n"/>
      <c r="N35" s="27" t="inlineStr">
        <is>
          <t>Not Started</t>
        </is>
      </c>
      <c r="O35" s="23" t="n"/>
      <c r="P35" s="24" t="inlineStr">
        <is>
          <t>Managed SMB/NFS shares</t>
        </is>
      </c>
      <c r="Q35" s="24" t="inlineStr">
        <is>
          <t>IAM-001, NET-001</t>
        </is>
      </c>
    </row>
    <row r="36" ht="28.35" customHeight="1" s="21">
      <c r="A36" s="23" t="inlineStr">
        <is>
          <t>STR-003</t>
        </is>
      </c>
      <c r="B36" s="24" t="inlineStr">
        <is>
          <t>Storage</t>
        </is>
      </c>
      <c r="C36" s="24" t="inlineStr">
        <is>
          <t>Azure Managed Disks</t>
        </is>
      </c>
      <c r="D36" s="25" t="inlineStr">
        <is>
          <t>Phase 1</t>
        </is>
      </c>
      <c r="E36" s="23" t="inlineStr">
        <is>
          <t>Critical</t>
        </is>
      </c>
      <c r="F36" s="27" t="inlineStr">
        <is>
          <t>Not Started</t>
        </is>
      </c>
      <c r="G36" s="23" t="n"/>
      <c r="H36" s="23" t="n"/>
      <c r="I36" s="23" t="n"/>
      <c r="J36" s="27" t="inlineStr">
        <is>
          <t>Not Started</t>
        </is>
      </c>
      <c r="K36" s="23" t="n"/>
      <c r="L36" s="23" t="n"/>
      <c r="M36" s="23" t="n"/>
      <c r="N36" s="27" t="inlineStr">
        <is>
          <t>Not Started</t>
        </is>
      </c>
      <c r="O36" s="23" t="n"/>
      <c r="P36" s="24" t="inlineStr">
        <is>
          <t>Block storage for VMs</t>
        </is>
      </c>
      <c r="Q36" s="24" t="inlineStr">
        <is>
          <t>None</t>
        </is>
      </c>
    </row>
    <row r="37" ht="28.35" customHeight="1" s="21">
      <c r="A37" s="23" t="inlineStr">
        <is>
          <t>STR-004</t>
        </is>
      </c>
      <c r="B37" s="24" t="inlineStr">
        <is>
          <t>Storage</t>
        </is>
      </c>
      <c r="C37" s="24" t="inlineStr">
        <is>
          <t>Azure File Sync</t>
        </is>
      </c>
      <c r="D37" s="28" t="inlineStr">
        <is>
          <t>Phase 2</t>
        </is>
      </c>
      <c r="E37" s="23" t="inlineStr">
        <is>
          <t>High</t>
        </is>
      </c>
      <c r="F37" s="27" t="inlineStr">
        <is>
          <t>Not Started</t>
        </is>
      </c>
      <c r="G37" s="23" t="n"/>
      <c r="H37" s="23" t="n"/>
      <c r="I37" s="23" t="n"/>
      <c r="J37" s="27" t="inlineStr">
        <is>
          <t>Not Started</t>
        </is>
      </c>
      <c r="K37" s="23" t="n"/>
      <c r="L37" s="23" t="n"/>
      <c r="M37" s="23" t="n"/>
      <c r="N37" s="27" t="inlineStr">
        <is>
          <t>Not Started</t>
        </is>
      </c>
      <c r="O37" s="23" t="n"/>
      <c r="P37" s="24" t="inlineStr">
        <is>
          <t>Sync on-prem to Azure</t>
        </is>
      </c>
      <c r="Q37" s="24" t="inlineStr">
        <is>
          <t>STR-002</t>
        </is>
      </c>
    </row>
    <row r="38" ht="28.35" customHeight="1" s="21">
      <c r="A38" s="23" t="inlineStr">
        <is>
          <t>BDR-001</t>
        </is>
      </c>
      <c r="B38" s="24" t="inlineStr">
        <is>
          <t>Backup &amp; DR</t>
        </is>
      </c>
      <c r="C38" s="24" t="inlineStr">
        <is>
          <t>Azure Backup</t>
        </is>
      </c>
      <c r="D38" s="25" t="inlineStr">
        <is>
          <t>Phase 1</t>
        </is>
      </c>
      <c r="E38" s="23" t="inlineStr">
        <is>
          <t>Critical</t>
        </is>
      </c>
      <c r="F38" s="27" t="inlineStr">
        <is>
          <t>Not Started</t>
        </is>
      </c>
      <c r="G38" s="23" t="n"/>
      <c r="H38" s="23" t="n"/>
      <c r="I38" s="23" t="n"/>
      <c r="J38" s="27" t="inlineStr">
        <is>
          <t>Not Started</t>
        </is>
      </c>
      <c r="K38" s="23" t="n"/>
      <c r="L38" s="23" t="n"/>
      <c r="M38" s="23" t="n"/>
      <c r="N38" s="27" t="inlineStr">
        <is>
          <t>Not Started</t>
        </is>
      </c>
      <c r="O38" s="23" t="n"/>
      <c r="P38" s="24" t="inlineStr">
        <is>
          <t>Native backup for VMs, SQL</t>
        </is>
      </c>
      <c r="Q38" s="24" t="inlineStr">
        <is>
          <t>BDR-002</t>
        </is>
      </c>
    </row>
    <row r="39" ht="28.35" customHeight="1" s="21">
      <c r="A39" s="23" t="inlineStr">
        <is>
          <t>BDR-002</t>
        </is>
      </c>
      <c r="B39" s="24" t="inlineStr">
        <is>
          <t>Backup &amp; DR</t>
        </is>
      </c>
      <c r="C39" s="24" t="inlineStr">
        <is>
          <t>Recovery Services Vault</t>
        </is>
      </c>
      <c r="D39" s="25" t="inlineStr">
        <is>
          <t>Phase 1</t>
        </is>
      </c>
      <c r="E39" s="23" t="inlineStr">
        <is>
          <t>Critical</t>
        </is>
      </c>
      <c r="F39" s="27" t="inlineStr">
        <is>
          <t>Not Started</t>
        </is>
      </c>
      <c r="G39" s="23" t="n"/>
      <c r="H39" s="23" t="n"/>
      <c r="I39" s="23" t="n"/>
      <c r="J39" s="27" t="inlineStr">
        <is>
          <t>Not Started</t>
        </is>
      </c>
      <c r="K39" s="23" t="n"/>
      <c r="L39" s="23" t="n"/>
      <c r="M39" s="23" t="n"/>
      <c r="N39" s="27" t="inlineStr">
        <is>
          <t>Not Started</t>
        </is>
      </c>
      <c r="O39" s="23" t="n"/>
      <c r="P39" s="24" t="inlineStr">
        <is>
          <t>Central backup management</t>
        </is>
      </c>
      <c r="Q39" s="24" t="inlineStr">
        <is>
          <t>None</t>
        </is>
      </c>
    </row>
    <row r="40" ht="28.35" customHeight="1" s="21">
      <c r="A40" s="23" t="inlineStr">
        <is>
          <t>BDR-003</t>
        </is>
      </c>
      <c r="B40" s="24" t="inlineStr">
        <is>
          <t>Backup &amp; DR</t>
        </is>
      </c>
      <c r="C40" s="24" t="inlineStr">
        <is>
          <t>Azure Site Recovery</t>
        </is>
      </c>
      <c r="D40" s="28" t="inlineStr">
        <is>
          <t>Phase 2</t>
        </is>
      </c>
      <c r="E40" s="23" t="inlineStr">
        <is>
          <t>High</t>
        </is>
      </c>
      <c r="F40" s="27" t="inlineStr">
        <is>
          <t>Not Started</t>
        </is>
      </c>
      <c r="G40" s="23" t="n"/>
      <c r="H40" s="23" t="n"/>
      <c r="I40" s="23" t="n"/>
      <c r="J40" s="27" t="inlineStr">
        <is>
          <t>Not Started</t>
        </is>
      </c>
      <c r="K40" s="23" t="n"/>
      <c r="L40" s="23" t="n"/>
      <c r="M40" s="23" t="n"/>
      <c r="N40" s="27" t="inlineStr">
        <is>
          <t>Not Started</t>
        </is>
      </c>
      <c r="O40" s="23" t="n"/>
      <c r="P40" s="24" t="inlineStr">
        <is>
          <t>DR orchestration</t>
        </is>
      </c>
      <c r="Q40" s="24" t="inlineStr">
        <is>
          <t>BDR-002, NET-001</t>
        </is>
      </c>
    </row>
    <row r="41" ht="28.35" customHeight="1" s="21">
      <c r="A41" s="23" t="inlineStr">
        <is>
          <t>BDR-004</t>
        </is>
      </c>
      <c r="B41" s="24" t="inlineStr">
        <is>
          <t>Backup &amp; DR</t>
        </is>
      </c>
      <c r="C41" s="24" t="inlineStr">
        <is>
          <t>Azure Backup for M365</t>
        </is>
      </c>
      <c r="D41" s="28" t="inlineStr">
        <is>
          <t>Phase 2</t>
        </is>
      </c>
      <c r="E41" s="23" t="inlineStr">
        <is>
          <t>High</t>
        </is>
      </c>
      <c r="F41" s="27" t="inlineStr">
        <is>
          <t>Not Started</t>
        </is>
      </c>
      <c r="G41" s="23" t="n"/>
      <c r="H41" s="23" t="n"/>
      <c r="I41" s="23" t="n"/>
      <c r="J41" s="27" t="inlineStr">
        <is>
          <t>Not Started</t>
        </is>
      </c>
      <c r="K41" s="23" t="n"/>
      <c r="L41" s="23" t="n"/>
      <c r="M41" s="23" t="n"/>
      <c r="N41" s="27" t="inlineStr">
        <is>
          <t>Not Started</t>
        </is>
      </c>
      <c r="O41" s="23" t="n"/>
      <c r="P41" s="24" t="inlineStr">
        <is>
          <t>M365 backup (preview)</t>
        </is>
      </c>
      <c r="Q41" s="24" t="inlineStr">
        <is>
          <t>IAM-001</t>
        </is>
      </c>
    </row>
    <row r="42" ht="28.35" customHeight="1" s="21">
      <c r="A42" s="23" t="inlineStr">
        <is>
          <t>DB-001</t>
        </is>
      </c>
      <c r="B42" s="24" t="inlineStr">
        <is>
          <t>Databases</t>
        </is>
      </c>
      <c r="C42" s="24" t="inlineStr">
        <is>
          <t>SQL Server on Azure VMs</t>
        </is>
      </c>
      <c r="D42" s="28" t="inlineStr">
        <is>
          <t>Phase 2</t>
        </is>
      </c>
      <c r="E42" s="23" t="inlineStr">
        <is>
          <t>High</t>
        </is>
      </c>
      <c r="F42" s="27" t="inlineStr">
        <is>
          <t>Not Started</t>
        </is>
      </c>
      <c r="G42" s="23" t="n"/>
      <c r="H42" s="23" t="n"/>
      <c r="I42" s="23" t="n"/>
      <c r="J42" s="27" t="inlineStr">
        <is>
          <t>Not Started</t>
        </is>
      </c>
      <c r="K42" s="23" t="n"/>
      <c r="L42" s="23" t="n"/>
      <c r="M42" s="23" t="n"/>
      <c r="N42" s="27" t="inlineStr">
        <is>
          <t>Not Started</t>
        </is>
      </c>
      <c r="O42" s="23" t="n"/>
      <c r="P42" s="24" t="inlineStr">
        <is>
          <t>Full SQL Server IaaS</t>
        </is>
      </c>
      <c r="Q42" s="24" t="inlineStr">
        <is>
          <t>CMP-001</t>
        </is>
      </c>
    </row>
    <row r="43" ht="28.35" customHeight="1" s="21">
      <c r="A43" s="23" t="inlineStr">
        <is>
          <t>DB-002</t>
        </is>
      </c>
      <c r="B43" s="24" t="inlineStr">
        <is>
          <t>Databases</t>
        </is>
      </c>
      <c r="C43" s="24" t="inlineStr">
        <is>
          <t>Azure SQL Database</t>
        </is>
      </c>
      <c r="D43" s="28" t="inlineStr">
        <is>
          <t>Phase 2</t>
        </is>
      </c>
      <c r="E43" s="23" t="inlineStr">
        <is>
          <t>High</t>
        </is>
      </c>
      <c r="F43" s="27" t="inlineStr">
        <is>
          <t>Not Started</t>
        </is>
      </c>
      <c r="G43" s="23" t="n"/>
      <c r="H43" s="23" t="n"/>
      <c r="I43" s="23" t="n"/>
      <c r="J43" s="27" t="inlineStr">
        <is>
          <t>Not Started</t>
        </is>
      </c>
      <c r="K43" s="23" t="n"/>
      <c r="L43" s="23" t="n"/>
      <c r="M43" s="23" t="n"/>
      <c r="N43" s="27" t="inlineStr">
        <is>
          <t>Not Started</t>
        </is>
      </c>
      <c r="O43" s="23" t="n"/>
      <c r="P43" s="24" t="inlineStr">
        <is>
          <t>Managed SQL Server PaaS</t>
        </is>
      </c>
      <c r="Q43" s="24" t="inlineStr">
        <is>
          <t>NET-001</t>
        </is>
      </c>
    </row>
    <row r="44" ht="28.35" customHeight="1" s="21">
      <c r="A44" s="23" t="inlineStr">
        <is>
          <t>DB-003</t>
        </is>
      </c>
      <c r="B44" s="24" t="inlineStr">
        <is>
          <t>Databases</t>
        </is>
      </c>
      <c r="C44" s="24" t="inlineStr">
        <is>
          <t>Azure SQL Managed Instance</t>
        </is>
      </c>
      <c r="D44" s="28" t="inlineStr">
        <is>
          <t>Phase 2</t>
        </is>
      </c>
      <c r="E44" s="23" t="inlineStr">
        <is>
          <t>High</t>
        </is>
      </c>
      <c r="F44" s="27" t="inlineStr">
        <is>
          <t>Not Started</t>
        </is>
      </c>
      <c r="G44" s="23" t="n"/>
      <c r="H44" s="23" t="n"/>
      <c r="I44" s="23" t="n"/>
      <c r="J44" s="27" t="inlineStr">
        <is>
          <t>Not Started</t>
        </is>
      </c>
      <c r="K44" s="23" t="n"/>
      <c r="L44" s="23" t="n"/>
      <c r="M44" s="23" t="n"/>
      <c r="N44" s="27" t="inlineStr">
        <is>
          <t>Not Started</t>
        </is>
      </c>
      <c r="O44" s="23" t="n"/>
      <c r="P44" s="24" t="inlineStr">
        <is>
          <t>Near 100% SQL compatibility</t>
        </is>
      </c>
      <c r="Q44" s="24" t="inlineStr">
        <is>
          <t>NET-001</t>
        </is>
      </c>
    </row>
    <row r="45" ht="28.35" customHeight="1" s="21">
      <c r="A45" s="23" t="inlineStr">
        <is>
          <t>DB-004</t>
        </is>
      </c>
      <c r="B45" s="24" t="inlineStr">
        <is>
          <t>Databases</t>
        </is>
      </c>
      <c r="C45" s="24" t="inlineStr">
        <is>
          <t>Azure Database for MySQL</t>
        </is>
      </c>
      <c r="D45" s="29" t="inlineStr">
        <is>
          <t>Phase 3</t>
        </is>
      </c>
      <c r="E45" s="23" t="inlineStr">
        <is>
          <t>Medium</t>
        </is>
      </c>
      <c r="F45" s="27" t="inlineStr">
        <is>
          <t>Not Started</t>
        </is>
      </c>
      <c r="G45" s="23" t="n"/>
      <c r="H45" s="23" t="n"/>
      <c r="I45" s="23" t="n"/>
      <c r="J45" s="27" t="inlineStr">
        <is>
          <t>Not Started</t>
        </is>
      </c>
      <c r="K45" s="23" t="n"/>
      <c r="L45" s="23" t="n"/>
      <c r="M45" s="23" t="n"/>
      <c r="N45" s="27" t="inlineStr">
        <is>
          <t>Not Started</t>
        </is>
      </c>
      <c r="O45" s="23" t="n"/>
      <c r="P45" s="24" t="inlineStr">
        <is>
          <t>Managed MySQL</t>
        </is>
      </c>
      <c r="Q45" s="24" t="inlineStr">
        <is>
          <t>NET-001</t>
        </is>
      </c>
    </row>
    <row r="46" ht="28.35" customHeight="1" s="21">
      <c r="A46" s="23" t="inlineStr">
        <is>
          <t>MON-001</t>
        </is>
      </c>
      <c r="B46" s="24" t="inlineStr">
        <is>
          <t>Monitoring</t>
        </is>
      </c>
      <c r="C46" s="24" t="inlineStr">
        <is>
          <t>Azure Monitor</t>
        </is>
      </c>
      <c r="D46" s="25" t="inlineStr">
        <is>
          <t>Phase 1</t>
        </is>
      </c>
      <c r="E46" s="23" t="inlineStr">
        <is>
          <t>Critical</t>
        </is>
      </c>
      <c r="F46" s="27" t="inlineStr">
        <is>
          <t>Not Started</t>
        </is>
      </c>
      <c r="G46" s="23" t="n"/>
      <c r="H46" s="23" t="n"/>
      <c r="I46" s="23" t="n"/>
      <c r="J46" s="27" t="inlineStr">
        <is>
          <t>Not Started</t>
        </is>
      </c>
      <c r="K46" s="23" t="n"/>
      <c r="L46" s="23" t="n"/>
      <c r="M46" s="23" t="n"/>
      <c r="N46" s="27" t="inlineStr">
        <is>
          <t>Not Started</t>
        </is>
      </c>
      <c r="O46" s="23" t="n"/>
      <c r="P46" s="24" t="inlineStr">
        <is>
          <t>Metrics, logs, alerts</t>
        </is>
      </c>
      <c r="Q46" s="24" t="inlineStr">
        <is>
          <t>None</t>
        </is>
      </c>
    </row>
    <row r="47" ht="28.35" customHeight="1" s="21">
      <c r="A47" s="23" t="inlineStr">
        <is>
          <t>MON-002</t>
        </is>
      </c>
      <c r="B47" s="24" t="inlineStr">
        <is>
          <t>Monitoring</t>
        </is>
      </c>
      <c r="C47" s="24" t="inlineStr">
        <is>
          <t>Log Analytics Workspace</t>
        </is>
      </c>
      <c r="D47" s="25" t="inlineStr">
        <is>
          <t>Phase 1</t>
        </is>
      </c>
      <c r="E47" s="23" t="inlineStr">
        <is>
          <t>Critical</t>
        </is>
      </c>
      <c r="F47" s="27" t="inlineStr">
        <is>
          <t>Not Started</t>
        </is>
      </c>
      <c r="G47" s="23" t="n"/>
      <c r="H47" s="23" t="n"/>
      <c r="I47" s="23" t="n"/>
      <c r="J47" s="27" t="inlineStr">
        <is>
          <t>Not Started</t>
        </is>
      </c>
      <c r="K47" s="23" t="n"/>
      <c r="L47" s="23" t="n"/>
      <c r="M47" s="23" t="n"/>
      <c r="N47" s="27" t="inlineStr">
        <is>
          <t>Not Started</t>
        </is>
      </c>
      <c r="O47" s="23" t="n"/>
      <c r="P47" s="24" t="inlineStr">
        <is>
          <t>Central log aggregation</t>
        </is>
      </c>
      <c r="Q47" s="24" t="inlineStr">
        <is>
          <t>MON-001</t>
        </is>
      </c>
    </row>
    <row r="48" ht="28.35" customHeight="1" s="21">
      <c r="A48" s="23" t="inlineStr">
        <is>
          <t>MON-003</t>
        </is>
      </c>
      <c r="B48" s="24" t="inlineStr">
        <is>
          <t>Monitoring</t>
        </is>
      </c>
      <c r="C48" s="24" t="inlineStr">
        <is>
          <t>Azure Lighthouse</t>
        </is>
      </c>
      <c r="D48" s="25" t="inlineStr">
        <is>
          <t>Phase 1</t>
        </is>
      </c>
      <c r="E48" s="23" t="inlineStr">
        <is>
          <t>Critical</t>
        </is>
      </c>
      <c r="F48" s="27" t="inlineStr">
        <is>
          <t>Not Started</t>
        </is>
      </c>
      <c r="G48" s="23" t="n"/>
      <c r="H48" s="23" t="n"/>
      <c r="I48" s="23" t="n"/>
      <c r="J48" s="27" t="inlineStr">
        <is>
          <t>Not Started</t>
        </is>
      </c>
      <c r="K48" s="23" t="n"/>
      <c r="L48" s="23" t="n"/>
      <c r="M48" s="23" t="n"/>
      <c r="N48" s="27" t="inlineStr">
        <is>
          <t>Not Started</t>
        </is>
      </c>
      <c r="O48" s="23" t="n"/>
      <c r="P48" s="24" t="inlineStr">
        <is>
          <t>Multi-tenant MSP management</t>
        </is>
      </c>
      <c r="Q48" s="24" t="inlineStr">
        <is>
          <t>IAM-001</t>
        </is>
      </c>
    </row>
    <row r="49" ht="28.35" customHeight="1" s="21">
      <c r="A49" s="23" t="inlineStr">
        <is>
          <t>MON-004</t>
        </is>
      </c>
      <c r="B49" s="24" t="inlineStr">
        <is>
          <t>Monitoring</t>
        </is>
      </c>
      <c r="C49" s="24" t="inlineStr">
        <is>
          <t>Azure Cost Management</t>
        </is>
      </c>
      <c r="D49" s="25" t="inlineStr">
        <is>
          <t>Phase 1</t>
        </is>
      </c>
      <c r="E49" s="23" t="inlineStr">
        <is>
          <t>Critical</t>
        </is>
      </c>
      <c r="F49" s="27" t="inlineStr">
        <is>
          <t>Not Started</t>
        </is>
      </c>
      <c r="G49" s="23" t="n"/>
      <c r="H49" s="23" t="n"/>
      <c r="I49" s="23" t="n"/>
      <c r="J49" s="27" t="inlineStr">
        <is>
          <t>Not Started</t>
        </is>
      </c>
      <c r="K49" s="23" t="n"/>
      <c r="L49" s="23" t="n"/>
      <c r="M49" s="23" t="n"/>
      <c r="N49" s="27" t="inlineStr">
        <is>
          <t>Not Started</t>
        </is>
      </c>
      <c r="O49" s="23" t="n"/>
      <c r="P49" s="24" t="inlineStr">
        <is>
          <t>Cost analysis and optimization</t>
        </is>
      </c>
      <c r="Q49" s="24" t="inlineStr">
        <is>
          <t>None</t>
        </is>
      </c>
    </row>
    <row r="50" ht="28.35" customHeight="1" s="21">
      <c r="A50" s="23" t="inlineStr">
        <is>
          <t>MON-005</t>
        </is>
      </c>
      <c r="B50" s="24" t="inlineStr">
        <is>
          <t>Monitoring</t>
        </is>
      </c>
      <c r="C50" s="24" t="inlineStr">
        <is>
          <t>Azure Arc</t>
        </is>
      </c>
      <c r="D50" s="28" t="inlineStr">
        <is>
          <t>Phase 2</t>
        </is>
      </c>
      <c r="E50" s="23" t="inlineStr">
        <is>
          <t>High</t>
        </is>
      </c>
      <c r="F50" s="27" t="inlineStr">
        <is>
          <t>Not Started</t>
        </is>
      </c>
      <c r="G50" s="23" t="n"/>
      <c r="H50" s="23" t="n"/>
      <c r="I50" s="23" t="n"/>
      <c r="J50" s="27" t="inlineStr">
        <is>
          <t>Not Started</t>
        </is>
      </c>
      <c r="K50" s="23" t="n"/>
      <c r="L50" s="23" t="n"/>
      <c r="M50" s="23" t="n"/>
      <c r="N50" s="27" t="inlineStr">
        <is>
          <t>Not Started</t>
        </is>
      </c>
      <c r="O50" s="23" t="n"/>
      <c r="P50" s="24" t="inlineStr">
        <is>
          <t>Manage on-prem from Azure</t>
        </is>
      </c>
      <c r="Q50" s="24" t="inlineStr">
        <is>
          <t>MON-001</t>
        </is>
      </c>
    </row>
    <row r="51" ht="28.35" customHeight="1" s="21">
      <c r="A51" s="23" t="inlineStr">
        <is>
          <t>MON-006</t>
        </is>
      </c>
      <c r="B51" s="24" t="inlineStr">
        <is>
          <t>Monitoring</t>
        </is>
      </c>
      <c r="C51" s="24" t="inlineStr">
        <is>
          <t>Azure Automation</t>
        </is>
      </c>
      <c r="D51" s="28" t="inlineStr">
        <is>
          <t>Phase 2</t>
        </is>
      </c>
      <c r="E51" s="23" t="inlineStr">
        <is>
          <t>High</t>
        </is>
      </c>
      <c r="F51" s="27" t="inlineStr">
        <is>
          <t>Not Started</t>
        </is>
      </c>
      <c r="G51" s="23" t="n"/>
      <c r="H51" s="23" t="n"/>
      <c r="I51" s="23" t="n"/>
      <c r="J51" s="27" t="inlineStr">
        <is>
          <t>Not Started</t>
        </is>
      </c>
      <c r="K51" s="23" t="n"/>
      <c r="L51" s="23" t="n"/>
      <c r="M51" s="23" t="n"/>
      <c r="N51" s="27" t="inlineStr">
        <is>
          <t>Not Started</t>
        </is>
      </c>
      <c r="O51" s="23" t="n"/>
      <c r="P51" s="24" t="inlineStr">
        <is>
          <t>Runbooks, update management</t>
        </is>
      </c>
      <c r="Q51" s="24" t="inlineStr">
        <is>
          <t>MON-001</t>
        </is>
      </c>
    </row>
    <row r="52" ht="28.35" customHeight="1" s="21">
      <c r="A52" s="23" t="inlineStr">
        <is>
          <t>MON-007</t>
        </is>
      </c>
      <c r="B52" s="24" t="inlineStr">
        <is>
          <t>Monitoring</t>
        </is>
      </c>
      <c r="C52" s="24" t="inlineStr">
        <is>
          <t>Azure Policy</t>
        </is>
      </c>
      <c r="D52" s="28" t="inlineStr">
        <is>
          <t>Phase 2</t>
        </is>
      </c>
      <c r="E52" s="23" t="inlineStr">
        <is>
          <t>High</t>
        </is>
      </c>
      <c r="F52" s="27" t="inlineStr">
        <is>
          <t>Not Started</t>
        </is>
      </c>
      <c r="G52" s="23" t="n"/>
      <c r="H52" s="23" t="n"/>
      <c r="I52" s="23" t="n"/>
      <c r="J52" s="27" t="inlineStr">
        <is>
          <t>Not Started</t>
        </is>
      </c>
      <c r="K52" s="23" t="n"/>
      <c r="L52" s="23" t="n"/>
      <c r="M52" s="23" t="n"/>
      <c r="N52" s="27" t="inlineStr">
        <is>
          <t>Not Started</t>
        </is>
      </c>
      <c r="O52" s="23" t="n"/>
      <c r="P52" s="24" t="inlineStr">
        <is>
          <t>Governance at scale</t>
        </is>
      </c>
      <c r="Q52" s="24" t="inlineStr">
        <is>
          <t>IAM-001</t>
        </is>
      </c>
    </row>
    <row r="53" ht="28.35" customHeight="1" s="21">
      <c r="A53" s="23" t="inlineStr">
        <is>
          <t>MIG-001</t>
        </is>
      </c>
      <c r="B53" s="24" t="inlineStr">
        <is>
          <t>Migration</t>
        </is>
      </c>
      <c r="C53" s="24" t="inlineStr">
        <is>
          <t>Azure Migrate</t>
        </is>
      </c>
      <c r="D53" s="25" t="inlineStr">
        <is>
          <t>Phase 1</t>
        </is>
      </c>
      <c r="E53" s="23" t="inlineStr">
        <is>
          <t>Critical</t>
        </is>
      </c>
      <c r="F53" s="27" t="inlineStr">
        <is>
          <t>Not Started</t>
        </is>
      </c>
      <c r="G53" s="23" t="n"/>
      <c r="H53" s="23" t="n"/>
      <c r="I53" s="23" t="n"/>
      <c r="J53" s="27" t="inlineStr">
        <is>
          <t>Not Started</t>
        </is>
      </c>
      <c r="K53" s="23" t="n"/>
      <c r="L53" s="23" t="n"/>
      <c r="M53" s="23" t="n"/>
      <c r="N53" s="27" t="inlineStr">
        <is>
          <t>Not Started</t>
        </is>
      </c>
      <c r="O53" s="23" t="n"/>
      <c r="P53" s="24" t="inlineStr">
        <is>
          <t>Discovery, assessment, migration</t>
        </is>
      </c>
      <c r="Q53" s="24" t="inlineStr">
        <is>
          <t>None</t>
        </is>
      </c>
    </row>
    <row r="54" ht="28.35" customHeight="1" s="21">
      <c r="A54" s="23" t="inlineStr">
        <is>
          <t>MIG-002</t>
        </is>
      </c>
      <c r="B54" s="24" t="inlineStr">
        <is>
          <t>Migration</t>
        </is>
      </c>
      <c r="C54" s="24" t="inlineStr">
        <is>
          <t>Database Migration Service</t>
        </is>
      </c>
      <c r="D54" s="28" t="inlineStr">
        <is>
          <t>Phase 2</t>
        </is>
      </c>
      <c r="E54" s="23" t="inlineStr">
        <is>
          <t>High</t>
        </is>
      </c>
      <c r="F54" s="27" t="inlineStr">
        <is>
          <t>Not Started</t>
        </is>
      </c>
      <c r="G54" s="23" t="n"/>
      <c r="H54" s="23" t="n"/>
      <c r="I54" s="23" t="n"/>
      <c r="J54" s="27" t="inlineStr">
        <is>
          <t>Not Started</t>
        </is>
      </c>
      <c r="K54" s="23" t="n"/>
      <c r="L54" s="23" t="n"/>
      <c r="M54" s="23" t="n"/>
      <c r="N54" s="27" t="inlineStr">
        <is>
          <t>Not Started</t>
        </is>
      </c>
      <c r="O54" s="23" t="n"/>
      <c r="P54" s="24" t="inlineStr">
        <is>
          <t>DB migrations</t>
        </is>
      </c>
      <c r="Q54" s="24" t="inlineStr">
        <is>
          <t>DB-002</t>
        </is>
      </c>
    </row>
    <row r="55" ht="28.35" customHeight="1" s="21">
      <c r="A55" s="23" t="inlineStr">
        <is>
          <t>M365-001</t>
        </is>
      </c>
      <c r="B55" s="24" t="inlineStr">
        <is>
          <t>M365 Integration</t>
        </is>
      </c>
      <c r="C55" s="24" t="inlineStr">
        <is>
          <t>Teams Phone System</t>
        </is>
      </c>
      <c r="D55" s="28" t="inlineStr">
        <is>
          <t>Phase 2</t>
        </is>
      </c>
      <c r="E55" s="23" t="inlineStr">
        <is>
          <t>High</t>
        </is>
      </c>
      <c r="F55" s="27" t="inlineStr">
        <is>
          <t>Not Started</t>
        </is>
      </c>
      <c r="G55" s="23" t="n"/>
      <c r="H55" s="23" t="n"/>
      <c r="I55" s="23" t="n"/>
      <c r="J55" s="27" t="inlineStr">
        <is>
          <t>Not Started</t>
        </is>
      </c>
      <c r="K55" s="23" t="n"/>
      <c r="L55" s="23" t="n"/>
      <c r="M55" s="23" t="n"/>
      <c r="N55" s="27" t="inlineStr">
        <is>
          <t>Not Started</t>
        </is>
      </c>
      <c r="O55" s="23" t="n"/>
      <c r="P55" s="24" t="inlineStr">
        <is>
          <t>Cloud PBX</t>
        </is>
      </c>
      <c r="Q55" s="24" t="inlineStr">
        <is>
          <t>IAM-001</t>
        </is>
      </c>
    </row>
    <row r="56" ht="28.35" customHeight="1" s="21">
      <c r="A56" s="23" t="inlineStr">
        <is>
          <t>M365-002</t>
        </is>
      </c>
      <c r="B56" s="24" t="inlineStr">
        <is>
          <t>M365 Integration</t>
        </is>
      </c>
      <c r="C56" s="24" t="inlineStr">
        <is>
          <t>Microsoft Purview</t>
        </is>
      </c>
      <c r="D56" s="28" t="inlineStr">
        <is>
          <t>Phase 2</t>
        </is>
      </c>
      <c r="E56" s="23" t="inlineStr">
        <is>
          <t>High</t>
        </is>
      </c>
      <c r="F56" s="27" t="inlineStr">
        <is>
          <t>Not Started</t>
        </is>
      </c>
      <c r="G56" s="23" t="n"/>
      <c r="H56" s="23" t="n"/>
      <c r="I56" s="23" t="n"/>
      <c r="J56" s="27" t="inlineStr">
        <is>
          <t>Not Started</t>
        </is>
      </c>
      <c r="K56" s="23" t="n"/>
      <c r="L56" s="23" t="n"/>
      <c r="M56" s="23" t="n"/>
      <c r="N56" s="27" t="inlineStr">
        <is>
          <t>Not Started</t>
        </is>
      </c>
      <c r="O56" s="23" t="n"/>
      <c r="P56" s="24" t="inlineStr">
        <is>
          <t>Data governance, DLP</t>
        </is>
      </c>
      <c r="Q56" s="24" t="inlineStr">
        <is>
          <t>IAM-001</t>
        </is>
      </c>
    </row>
    <row r="57" ht="28.35" customHeight="1" s="21">
      <c r="A57" s="23" t="inlineStr">
        <is>
          <t>M365-003</t>
        </is>
      </c>
      <c r="B57" s="24" t="inlineStr">
        <is>
          <t>M365 Integration</t>
        </is>
      </c>
      <c r="C57" s="24" t="inlineStr">
        <is>
          <t>Power Automate</t>
        </is>
      </c>
      <c r="D57" s="28" t="inlineStr">
        <is>
          <t>Phase 2</t>
        </is>
      </c>
      <c r="E57" s="23" t="inlineStr">
        <is>
          <t>Medium</t>
        </is>
      </c>
      <c r="F57" s="27" t="inlineStr">
        <is>
          <t>Not Started</t>
        </is>
      </c>
      <c r="G57" s="23" t="n"/>
      <c r="H57" s="23" t="n"/>
      <c r="I57" s="23" t="n"/>
      <c r="J57" s="27" t="inlineStr">
        <is>
          <t>Not Started</t>
        </is>
      </c>
      <c r="K57" s="23" t="n"/>
      <c r="L57" s="23" t="n"/>
      <c r="M57" s="23" t="n"/>
      <c r="N57" s="27" t="inlineStr">
        <is>
          <t>Not Started</t>
        </is>
      </c>
      <c r="O57" s="23" t="n"/>
      <c r="P57" s="24" t="inlineStr">
        <is>
          <t>Workflow automation</t>
        </is>
      </c>
      <c r="Q57" s="24" t="inlineStr">
        <is>
          <t>IAM-001</t>
        </is>
      </c>
    </row>
    <row r="58" ht="28.35" customHeight="1" s="21">
      <c r="A58" s="23" t="inlineStr">
        <is>
          <t>M365-004</t>
        </is>
      </c>
      <c r="B58" s="24" t="inlineStr">
        <is>
          <t>M365 Integration</t>
        </is>
      </c>
      <c r="C58" s="24" t="inlineStr">
        <is>
          <t>Power BI</t>
        </is>
      </c>
      <c r="D58" s="29" t="inlineStr">
        <is>
          <t>Phase 3</t>
        </is>
      </c>
      <c r="E58" s="23" t="inlineStr">
        <is>
          <t>Medium</t>
        </is>
      </c>
      <c r="F58" s="27" t="inlineStr">
        <is>
          <t>Not Started</t>
        </is>
      </c>
      <c r="G58" s="23" t="n"/>
      <c r="H58" s="23" t="n"/>
      <c r="I58" s="23" t="n"/>
      <c r="J58" s="27" t="inlineStr">
        <is>
          <t>Not Started</t>
        </is>
      </c>
      <c r="K58" s="23" t="n"/>
      <c r="L58" s="23" t="n"/>
      <c r="M58" s="23" t="n"/>
      <c r="N58" s="27" t="inlineStr">
        <is>
          <t>Not Started</t>
        </is>
      </c>
      <c r="O58" s="23" t="n"/>
      <c r="P58" s="24" t="inlineStr">
        <is>
          <t>Business intelligence</t>
        </is>
      </c>
      <c r="Q58" s="24" t="inlineStr">
        <is>
          <t>IAM-001</t>
        </is>
      </c>
    </row>
    <row r="59" ht="28.35" customHeight="1" s="21">
      <c r="A59" s="23" t="inlineStr">
        <is>
          <t>DEV-001</t>
        </is>
      </c>
      <c r="B59" s="24" t="inlineStr">
        <is>
          <t>DevOps</t>
        </is>
      </c>
      <c r="C59" s="24" t="inlineStr">
        <is>
          <t>Azure Logic Apps</t>
        </is>
      </c>
      <c r="D59" s="28" t="inlineStr">
        <is>
          <t>Phase 2</t>
        </is>
      </c>
      <c r="E59" s="23" t="inlineStr">
        <is>
          <t>High</t>
        </is>
      </c>
      <c r="F59" s="27" t="inlineStr">
        <is>
          <t>Not Started</t>
        </is>
      </c>
      <c r="G59" s="23" t="n"/>
      <c r="H59" s="23" t="n"/>
      <c r="I59" s="23" t="n"/>
      <c r="J59" s="27" t="inlineStr">
        <is>
          <t>Not Started</t>
        </is>
      </c>
      <c r="K59" s="23" t="n"/>
      <c r="L59" s="23" t="n"/>
      <c r="M59" s="23" t="n"/>
      <c r="N59" s="27" t="inlineStr">
        <is>
          <t>Not Started</t>
        </is>
      </c>
      <c r="O59" s="23" t="n"/>
      <c r="P59" s="24" t="inlineStr">
        <is>
          <t>Integration workflows</t>
        </is>
      </c>
      <c r="Q59" s="24" t="inlineStr">
        <is>
          <t>IAM-001</t>
        </is>
      </c>
    </row>
    <row r="60" ht="28.35" customHeight="1" s="21">
      <c r="A60" s="23" t="inlineStr">
        <is>
          <t>DEV-002</t>
        </is>
      </c>
      <c r="B60" s="24" t="inlineStr">
        <is>
          <t>DevOps</t>
        </is>
      </c>
      <c r="C60" s="24" t="inlineStr">
        <is>
          <t>Azure DevOps</t>
        </is>
      </c>
      <c r="D60" s="29" t="inlineStr">
        <is>
          <t>Phase 3</t>
        </is>
      </c>
      <c r="E60" s="23" t="inlineStr">
        <is>
          <t>Medium</t>
        </is>
      </c>
      <c r="F60" s="27" t="inlineStr">
        <is>
          <t>Not Started</t>
        </is>
      </c>
      <c r="G60" s="23" t="n"/>
      <c r="H60" s="23" t="n"/>
      <c r="I60" s="23" t="n"/>
      <c r="J60" s="27" t="inlineStr">
        <is>
          <t>Not Started</t>
        </is>
      </c>
      <c r="K60" s="23" t="n"/>
      <c r="L60" s="23" t="n"/>
      <c r="M60" s="23" t="n"/>
      <c r="N60" s="27" t="inlineStr">
        <is>
          <t>Not Started</t>
        </is>
      </c>
      <c r="O60" s="23" t="n"/>
      <c r="P60" s="24" t="inlineStr">
        <is>
          <t>CI/CD pipelines</t>
        </is>
      </c>
      <c r="Q60" s="24" t="inlineStr">
        <is>
          <t>IAM-001</t>
        </is>
      </c>
    </row>
    <row r="61" ht="15" customHeight="1" s="21">
      <c r="A61" s="23" t="inlineStr">
        <is>
          <t>AI-001</t>
        </is>
      </c>
      <c r="B61" s="24" t="inlineStr">
        <is>
          <t>AI &amp; ML</t>
        </is>
      </c>
      <c r="C61" s="24" t="inlineStr">
        <is>
          <t>Azure OpenAI Service</t>
        </is>
      </c>
      <c r="D61" s="30" t="inlineStr">
        <is>
          <t>Phase 4</t>
        </is>
      </c>
      <c r="E61" s="23" t="inlineStr">
        <is>
          <t>Medium</t>
        </is>
      </c>
      <c r="F61" s="27" t="inlineStr">
        <is>
          <t>Not Started</t>
        </is>
      </c>
      <c r="G61" s="23" t="n"/>
      <c r="H61" s="23" t="n"/>
      <c r="I61" s="23" t="n"/>
      <c r="J61" s="27" t="inlineStr">
        <is>
          <t>Not Started</t>
        </is>
      </c>
      <c r="K61" s="23" t="n"/>
      <c r="L61" s="23" t="n"/>
      <c r="M61" s="23" t="n"/>
      <c r="N61" s="27" t="inlineStr">
        <is>
          <t>Not Started</t>
        </is>
      </c>
      <c r="O61" s="23" t="n"/>
      <c r="P61" s="24" t="inlineStr">
        <is>
          <t>GPT-4, DALL-E APIs</t>
        </is>
      </c>
      <c r="Q61" s="24" t="inlineStr">
        <is>
          <t>IAM-001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0" min="1" max="1"/>
    <col width="12" customWidth="1" style="20" min="2" max="2"/>
    <col width="14" customWidth="1" style="20" min="3" max="5"/>
    <col width="10" customWidth="1" style="20" min="6" max="6"/>
  </cols>
  <sheetData>
    <row r="1" ht="19.7" customHeight="1" s="21">
      <c r="A1" s="31" t="inlineStr">
        <is>
          <t>OberaConnect Azure Services Pipeline Dashboard</t>
        </is>
      </c>
    </row>
    <row r="3" ht="15" customHeight="1" s="21">
      <c r="A3" s="32" t="inlineStr">
        <is>
          <t>Pipeline Summary</t>
        </is>
      </c>
    </row>
    <row r="4" ht="15" customHeight="1" s="21">
      <c r="A4" s="22" t="inlineStr">
        <is>
          <t>Metric</t>
        </is>
      </c>
      <c r="B4" s="22" t="inlineStr">
        <is>
          <t>Lab</t>
        </is>
      </c>
      <c r="C4" s="22" t="inlineStr">
        <is>
          <t>Obera</t>
        </is>
      </c>
      <c r="D4" s="22" t="inlineStr">
        <is>
          <t>Customer</t>
        </is>
      </c>
      <c r="E4" s="22" t="inlineStr">
        <is>
          <t>Total</t>
        </is>
      </c>
    </row>
    <row r="5" ht="15" customHeight="1" s="21">
      <c r="A5" s="23" t="inlineStr">
        <is>
          <t>Not Started</t>
        </is>
      </c>
      <c r="B5" s="23">
        <f>COUNTIF('Master Tracker'!F:F,"Not Started")</f>
        <v/>
      </c>
      <c r="C5" s="23">
        <f>COUNTIF('Master Tracker'!J:J,"Not Started")</f>
        <v/>
      </c>
      <c r="D5" s="23">
        <f>COUNTIF('Master Tracker'!N:N,"Not Started")</f>
        <v/>
      </c>
      <c r="E5" s="23">
        <f>B5+C5+D5</f>
        <v/>
      </c>
    </row>
    <row r="6" ht="15" customHeight="1" s="21">
      <c r="A6" s="23" t="inlineStr">
        <is>
          <t>In Progress</t>
        </is>
      </c>
      <c r="B6" s="23">
        <f>COUNTIF('Master Tracker'!F:F,"In Progress")</f>
        <v/>
      </c>
      <c r="C6" s="23">
        <f>COUNTIF('Master Tracker'!J:J,"In Progress")</f>
        <v/>
      </c>
      <c r="D6" s="23">
        <f>COUNTIF('Master Tracker'!N:N,"In Progress")</f>
        <v/>
      </c>
      <c r="E6" s="23">
        <f>B6+C6+D6</f>
        <v/>
      </c>
    </row>
    <row r="7" ht="15" customHeight="1" s="21">
      <c r="A7" s="23" t="inlineStr">
        <is>
          <t>Testing</t>
        </is>
      </c>
      <c r="B7" s="23">
        <f>COUNTIF('Master Tracker'!F:F,"Testing")</f>
        <v/>
      </c>
      <c r="C7" s="23">
        <f>COUNTIF('Master Tracker'!J:J,"Testing")</f>
        <v/>
      </c>
      <c r="D7" s="23">
        <f>COUNTIF('Master Tracker'!N:N,"Testing")</f>
        <v/>
      </c>
      <c r="E7" s="23">
        <f>B7+C7+D7</f>
        <v/>
      </c>
    </row>
    <row r="8" ht="15" customHeight="1" s="21">
      <c r="A8" s="23" t="inlineStr">
        <is>
          <t>Complete</t>
        </is>
      </c>
      <c r="B8" s="23">
        <f>COUNTIF('Master Tracker'!F:F,"Complete")</f>
        <v/>
      </c>
      <c r="C8" s="23">
        <f>COUNTIF('Master Tracker'!J:J,"Complete")</f>
        <v/>
      </c>
      <c r="D8" s="23">
        <f>COUNTIF('Master Tracker'!N:N,"Complete")</f>
        <v/>
      </c>
      <c r="E8" s="23">
        <f>B8+C8+D8</f>
        <v/>
      </c>
    </row>
    <row r="9" ht="15" customHeight="1" s="21">
      <c r="A9" s="23" t="inlineStr">
        <is>
          <t>Blocked</t>
        </is>
      </c>
      <c r="B9" s="23">
        <f>COUNTIF('Master Tracker'!F:F,"Blocked")</f>
        <v/>
      </c>
      <c r="C9" s="23">
        <f>COUNTIF('Master Tracker'!J:J,"Blocked")</f>
        <v/>
      </c>
      <c r="D9" s="23">
        <f>COUNTIF('Master Tracker'!N:N,"Blocked")</f>
        <v/>
      </c>
      <c r="E9" s="23">
        <f>B9+C9+D9</f>
        <v/>
      </c>
    </row>
    <row r="10" ht="15" customHeight="1" s="21">
      <c r="A10" s="33" t="inlineStr">
        <is>
          <t>Total Services</t>
        </is>
      </c>
      <c r="B10" s="33">
        <f>COUNTA('Master Tracker'!A:A)-1</f>
        <v/>
      </c>
      <c r="C10" s="33" t="n"/>
      <c r="D10" s="33" t="n"/>
      <c r="E10" s="33" t="n"/>
    </row>
    <row r="12" ht="15" customHeight="1" s="21">
      <c r="A12" s="32" t="inlineStr">
        <is>
          <t>Services by Phase</t>
        </is>
      </c>
    </row>
    <row r="13" ht="15" customHeight="1" s="21">
      <c r="A13" s="22" t="inlineStr">
        <is>
          <t>Phase</t>
        </is>
      </c>
      <c r="B13" s="22" t="inlineStr">
        <is>
          <t>Count</t>
        </is>
      </c>
      <c r="C13" s="22" t="inlineStr">
        <is>
          <t>Critical</t>
        </is>
      </c>
      <c r="D13" s="22" t="inlineStr">
        <is>
          <t>High</t>
        </is>
      </c>
      <c r="E13" s="22" t="inlineStr">
        <is>
          <t>Medium</t>
        </is>
      </c>
      <c r="F13" s="22" t="inlineStr">
        <is>
          <t>Low</t>
        </is>
      </c>
    </row>
    <row r="14" ht="15" customHeight="1" s="21">
      <c r="A14" s="25" t="inlineStr">
        <is>
          <t>Phase 1</t>
        </is>
      </c>
      <c r="B14" s="23">
        <f>COUNTIF('Master Tracker'!D:D,"Phase 1")</f>
        <v/>
      </c>
      <c r="C14" s="23">
        <f>COUNTIFS('Master Tracker'!D:D,"Phase 1",'Master Tracker'!E:E,"Critical")</f>
        <v/>
      </c>
      <c r="D14" s="23">
        <f>COUNTIFS('Master Tracker'!D:D,"Phase 1",'Master Tracker'!E:E,"High")</f>
        <v/>
      </c>
      <c r="E14" s="23">
        <f>COUNTIFS('Master Tracker'!D:D,"Phase 1",'Master Tracker'!E:E,"Medium")</f>
        <v/>
      </c>
      <c r="F14" s="23">
        <f>COUNTIFS('Master Tracker'!D:D,"Phase 1",'Master Tracker'!E:E,"Low")</f>
        <v/>
      </c>
    </row>
    <row r="15" ht="15" customHeight="1" s="21">
      <c r="A15" s="28" t="inlineStr">
        <is>
          <t>Phase 2</t>
        </is>
      </c>
      <c r="B15" s="23">
        <f>COUNTIF('Master Tracker'!D:D,"Phase 2")</f>
        <v/>
      </c>
      <c r="C15" s="23">
        <f>COUNTIFS('Master Tracker'!D:D,"Phase 2",'Master Tracker'!E:E,"Critical")</f>
        <v/>
      </c>
      <c r="D15" s="23">
        <f>COUNTIFS('Master Tracker'!D:D,"Phase 2",'Master Tracker'!E:E,"High")</f>
        <v/>
      </c>
      <c r="E15" s="23">
        <f>COUNTIFS('Master Tracker'!D:D,"Phase 2",'Master Tracker'!E:E,"Medium")</f>
        <v/>
      </c>
      <c r="F15" s="23">
        <f>COUNTIFS('Master Tracker'!D:D,"Phase 2",'Master Tracker'!E:E,"Low")</f>
        <v/>
      </c>
    </row>
    <row r="16" ht="15" customHeight="1" s="21">
      <c r="A16" s="29" t="inlineStr">
        <is>
          <t>Phase 3</t>
        </is>
      </c>
      <c r="B16" s="23">
        <f>COUNTIF('Master Tracker'!D:D,"Phase 3")</f>
        <v/>
      </c>
      <c r="C16" s="23">
        <f>COUNTIFS('Master Tracker'!D:D,"Phase 3",'Master Tracker'!E:E,"Critical")</f>
        <v/>
      </c>
      <c r="D16" s="23">
        <f>COUNTIFS('Master Tracker'!D:D,"Phase 3",'Master Tracker'!E:E,"High")</f>
        <v/>
      </c>
      <c r="E16" s="23">
        <f>COUNTIFS('Master Tracker'!D:D,"Phase 3",'Master Tracker'!E:E,"Medium")</f>
        <v/>
      </c>
      <c r="F16" s="23">
        <f>COUNTIFS('Master Tracker'!D:D,"Phase 3",'Master Tracker'!E:E,"Low")</f>
        <v/>
      </c>
    </row>
    <row r="17" ht="15" customHeight="1" s="21">
      <c r="A17" s="30" t="inlineStr">
        <is>
          <t>Phase 4</t>
        </is>
      </c>
      <c r="B17" s="23">
        <f>COUNTIF('Master Tracker'!D:D,"Phase 4")</f>
        <v/>
      </c>
      <c r="C17" s="23">
        <f>COUNTIFS('Master Tracker'!D:D,"Phase 4",'Master Tracker'!E:E,"Critical")</f>
        <v/>
      </c>
      <c r="D17" s="23">
        <f>COUNTIFS('Master Tracker'!D:D,"Phase 4",'Master Tracker'!E:E,"High")</f>
        <v/>
      </c>
      <c r="E17" s="23">
        <f>COUNTIFS('Master Tracker'!D:D,"Phase 4",'Master Tracker'!E:E,"Medium")</f>
        <v/>
      </c>
      <c r="F17" s="23">
        <f>COUNTIFS('Master Tracker'!D:D,"Phase 4",'Master Tracker'!E:E,"Low")</f>
        <v/>
      </c>
    </row>
    <row r="19" ht="15" customHeight="1" s="21">
      <c r="A19" s="32" t="inlineStr">
        <is>
          <t>Services by Category</t>
        </is>
      </c>
    </row>
    <row r="20" ht="28.35" customHeight="1" s="21">
      <c r="A20" s="22" t="inlineStr">
        <is>
          <t>Category</t>
        </is>
      </c>
      <c r="B20" s="22" t="inlineStr">
        <is>
          <t>Total</t>
        </is>
      </c>
      <c r="C20" s="22" t="inlineStr">
        <is>
          <t>Lab Complete</t>
        </is>
      </c>
      <c r="D20" s="22" t="inlineStr">
        <is>
          <t>Obera Complete</t>
        </is>
      </c>
      <c r="E20" s="22" t="inlineStr">
        <is>
          <t>Customer Ready</t>
        </is>
      </c>
    </row>
    <row r="21" ht="15" customHeight="1" s="21">
      <c r="A21" s="34" t="inlineStr">
        <is>
          <t>Identity &amp; Access</t>
        </is>
      </c>
      <c r="B21" s="34">
        <f>COUNTIF('Master Tracker'!B:B,"Identity &amp; Access")</f>
        <v/>
      </c>
      <c r="C21" s="34">
        <f>COUNTIFS('Master Tracker'!B:B,"Identity &amp; Access",'Master Tracker'!F:F,"Complete")</f>
        <v/>
      </c>
      <c r="D21" s="34">
        <f>COUNTIFS('Master Tracker'!B:B,"Identity &amp; Access",'Master Tracker'!J:J,"Complete")</f>
        <v/>
      </c>
      <c r="E21" s="34">
        <f>COUNTIFS('Master Tracker'!B:B,"Identity &amp; Access",'Master Tracker'!N:N,"Complete")</f>
        <v/>
      </c>
    </row>
    <row r="22" ht="15" customHeight="1" s="21">
      <c r="A22" s="34" t="inlineStr">
        <is>
          <t>Security</t>
        </is>
      </c>
      <c r="B22" s="34">
        <f>COUNTIF('Master Tracker'!B:B,"Security")</f>
        <v/>
      </c>
      <c r="C22" s="34">
        <f>COUNTIFS('Master Tracker'!B:B,"Security",'Master Tracker'!F:F,"Complete")</f>
        <v/>
      </c>
      <c r="D22" s="34">
        <f>COUNTIFS('Master Tracker'!B:B,"Security",'Master Tracker'!J:J,"Complete")</f>
        <v/>
      </c>
      <c r="E22" s="34">
        <f>COUNTIFS('Master Tracker'!B:B,"Security",'Master Tracker'!N:N,"Complete")</f>
        <v/>
      </c>
    </row>
    <row r="23" ht="15" customHeight="1" s="21">
      <c r="A23" s="34" t="inlineStr">
        <is>
          <t>Endpoint Mgmt</t>
        </is>
      </c>
      <c r="B23" s="34">
        <f>COUNTIF('Master Tracker'!B:B,"Endpoint Mgmt")</f>
        <v/>
      </c>
      <c r="C23" s="34">
        <f>COUNTIFS('Master Tracker'!B:B,"Endpoint Mgmt",'Master Tracker'!F:F,"Complete")</f>
        <v/>
      </c>
      <c r="D23" s="34">
        <f>COUNTIFS('Master Tracker'!B:B,"Endpoint Mgmt",'Master Tracker'!J:J,"Complete")</f>
        <v/>
      </c>
      <c r="E23" s="34">
        <f>COUNTIFS('Master Tracker'!B:B,"Endpoint Mgmt",'Master Tracker'!N:N,"Complete")</f>
        <v/>
      </c>
    </row>
    <row r="24" ht="15" customHeight="1" s="21">
      <c r="A24" s="34" t="inlineStr">
        <is>
          <t>Virtual Desktop</t>
        </is>
      </c>
      <c r="B24" s="34">
        <f>COUNTIF('Master Tracker'!B:B,"Virtual Desktop")</f>
        <v/>
      </c>
      <c r="C24" s="34">
        <f>COUNTIFS('Master Tracker'!B:B,"Virtual Desktop",'Master Tracker'!F:F,"Complete")</f>
        <v/>
      </c>
      <c r="D24" s="34">
        <f>COUNTIFS('Master Tracker'!B:B,"Virtual Desktop",'Master Tracker'!J:J,"Complete")</f>
        <v/>
      </c>
      <c r="E24" s="34">
        <f>COUNTIFS('Master Tracker'!B:B,"Virtual Desktop",'Master Tracker'!N:N,"Complete")</f>
        <v/>
      </c>
    </row>
    <row r="25" ht="15" customHeight="1" s="21">
      <c r="A25" s="34" t="inlineStr">
        <is>
          <t>Networking</t>
        </is>
      </c>
      <c r="B25" s="34">
        <f>COUNTIF('Master Tracker'!B:B,"Networking")</f>
        <v/>
      </c>
      <c r="C25" s="34">
        <f>COUNTIFS('Master Tracker'!B:B,"Networking",'Master Tracker'!F:F,"Complete")</f>
        <v/>
      </c>
      <c r="D25" s="34">
        <f>COUNTIFS('Master Tracker'!B:B,"Networking",'Master Tracker'!J:J,"Complete")</f>
        <v/>
      </c>
      <c r="E25" s="34">
        <f>COUNTIFS('Master Tracker'!B:B,"Networking",'Master Tracker'!N:N,"Complete")</f>
        <v/>
      </c>
    </row>
    <row r="26" ht="15" customHeight="1" s="21">
      <c r="A26" s="34" t="inlineStr">
        <is>
          <t>Compute</t>
        </is>
      </c>
      <c r="B26" s="34">
        <f>COUNTIF('Master Tracker'!B:B,"Compute")</f>
        <v/>
      </c>
      <c r="C26" s="34">
        <f>COUNTIFS('Master Tracker'!B:B,"Compute",'Master Tracker'!F:F,"Complete")</f>
        <v/>
      </c>
      <c r="D26" s="34">
        <f>COUNTIFS('Master Tracker'!B:B,"Compute",'Master Tracker'!J:J,"Complete")</f>
        <v/>
      </c>
      <c r="E26" s="34">
        <f>COUNTIFS('Master Tracker'!B:B,"Compute",'Master Tracker'!N:N,"Complete")</f>
        <v/>
      </c>
    </row>
    <row r="27" ht="15" customHeight="1" s="21">
      <c r="A27" s="34" t="inlineStr">
        <is>
          <t>Storage</t>
        </is>
      </c>
      <c r="B27" s="34">
        <f>COUNTIF('Master Tracker'!B:B,"Storage")</f>
        <v/>
      </c>
      <c r="C27" s="34">
        <f>COUNTIFS('Master Tracker'!B:B,"Storage",'Master Tracker'!F:F,"Complete")</f>
        <v/>
      </c>
      <c r="D27" s="34">
        <f>COUNTIFS('Master Tracker'!B:B,"Storage",'Master Tracker'!J:J,"Complete")</f>
        <v/>
      </c>
      <c r="E27" s="34">
        <f>COUNTIFS('Master Tracker'!B:B,"Storage",'Master Tracker'!N:N,"Complete")</f>
        <v/>
      </c>
    </row>
    <row r="28" ht="15" customHeight="1" s="21">
      <c r="A28" s="34" t="inlineStr">
        <is>
          <t>Backup &amp; DR</t>
        </is>
      </c>
      <c r="B28" s="34">
        <f>COUNTIF('Master Tracker'!B:B,"Backup &amp; DR")</f>
        <v/>
      </c>
      <c r="C28" s="34">
        <f>COUNTIFS('Master Tracker'!B:B,"Backup &amp; DR",'Master Tracker'!F:F,"Complete")</f>
        <v/>
      </c>
      <c r="D28" s="34">
        <f>COUNTIFS('Master Tracker'!B:B,"Backup &amp; DR",'Master Tracker'!J:J,"Complete")</f>
        <v/>
      </c>
      <c r="E28" s="34">
        <f>COUNTIFS('Master Tracker'!B:B,"Backup &amp; DR",'Master Tracker'!N:N,"Complete")</f>
        <v/>
      </c>
    </row>
    <row r="29" ht="15" customHeight="1" s="21">
      <c r="A29" s="34" t="inlineStr">
        <is>
          <t>Databases</t>
        </is>
      </c>
      <c r="B29" s="34">
        <f>COUNTIF('Master Tracker'!B:B,"Databases")</f>
        <v/>
      </c>
      <c r="C29" s="34">
        <f>COUNTIFS('Master Tracker'!B:B,"Databases",'Master Tracker'!F:F,"Complete")</f>
        <v/>
      </c>
      <c r="D29" s="34">
        <f>COUNTIFS('Master Tracker'!B:B,"Databases",'Master Tracker'!J:J,"Complete")</f>
        <v/>
      </c>
      <c r="E29" s="34">
        <f>COUNTIFS('Master Tracker'!B:B,"Databases",'Master Tracker'!N:N,"Complete")</f>
        <v/>
      </c>
    </row>
    <row r="30" ht="15" customHeight="1" s="21">
      <c r="A30" s="34" t="inlineStr">
        <is>
          <t>Monitoring</t>
        </is>
      </c>
      <c r="B30" s="34">
        <f>COUNTIF('Master Tracker'!B:B,"Monitoring")</f>
        <v/>
      </c>
      <c r="C30" s="34">
        <f>COUNTIFS('Master Tracker'!B:B,"Monitoring",'Master Tracker'!F:F,"Complete")</f>
        <v/>
      </c>
      <c r="D30" s="34">
        <f>COUNTIFS('Master Tracker'!B:B,"Monitoring",'Master Tracker'!J:J,"Complete")</f>
        <v/>
      </c>
      <c r="E30" s="34">
        <f>COUNTIFS('Master Tracker'!B:B,"Monitoring",'Master Tracker'!N:N,"Complete")</f>
        <v/>
      </c>
    </row>
    <row r="31" ht="15" customHeight="1" s="21">
      <c r="A31" s="34" t="inlineStr">
        <is>
          <t>Migration</t>
        </is>
      </c>
      <c r="B31" s="34">
        <f>COUNTIF('Master Tracker'!B:B,"Migration")</f>
        <v/>
      </c>
      <c r="C31" s="34">
        <f>COUNTIFS('Master Tracker'!B:B,"Migration",'Master Tracker'!F:F,"Complete")</f>
        <v/>
      </c>
      <c r="D31" s="34">
        <f>COUNTIFS('Master Tracker'!B:B,"Migration",'Master Tracker'!J:J,"Complete")</f>
        <v/>
      </c>
      <c r="E31" s="34">
        <f>COUNTIFS('Master Tracker'!B:B,"Migration",'Master Tracker'!N:N,"Complete")</f>
        <v/>
      </c>
    </row>
    <row r="32" ht="15" customHeight="1" s="21">
      <c r="A32" s="34" t="inlineStr">
        <is>
          <t>M365 Integration</t>
        </is>
      </c>
      <c r="B32" s="34">
        <f>COUNTIF('Master Tracker'!B:B,"M365 Integration")</f>
        <v/>
      </c>
      <c r="C32" s="34">
        <f>COUNTIFS('Master Tracker'!B:B,"M365 Integration",'Master Tracker'!F:F,"Complete")</f>
        <v/>
      </c>
      <c r="D32" s="34">
        <f>COUNTIFS('Master Tracker'!B:B,"M365 Integration",'Master Tracker'!J:J,"Complete")</f>
        <v/>
      </c>
      <c r="E32" s="34">
        <f>COUNTIFS('Master Tracker'!B:B,"M365 Integration",'Master Tracker'!N:N,"Complete")</f>
        <v/>
      </c>
    </row>
    <row r="33" ht="15" customHeight="1" s="21">
      <c r="A33" s="34" t="inlineStr">
        <is>
          <t>DevOps</t>
        </is>
      </c>
      <c r="B33" s="34">
        <f>COUNTIF('Master Tracker'!B:B,"DevOps")</f>
        <v/>
      </c>
      <c r="C33" s="34">
        <f>COUNTIFS('Master Tracker'!B:B,"DevOps",'Master Tracker'!F:F,"Complete")</f>
        <v/>
      </c>
      <c r="D33" s="34">
        <f>COUNTIFS('Master Tracker'!B:B,"DevOps",'Master Tracker'!J:J,"Complete")</f>
        <v/>
      </c>
      <c r="E33" s="34">
        <f>COUNTIFS('Master Tracker'!B:B,"DevOps",'Master Tracker'!N:N,"Complete")</f>
        <v/>
      </c>
    </row>
    <row r="34" ht="15" customHeight="1" s="21">
      <c r="A34" s="34" t="inlineStr">
        <is>
          <t>AI &amp; ML</t>
        </is>
      </c>
      <c r="B34" s="34">
        <f>COUNTIF('Master Tracker'!B:B,"AI &amp; ML")</f>
        <v/>
      </c>
      <c r="C34" s="34">
        <f>COUNTIFS('Master Tracker'!B:B,"AI &amp; ML",'Master Tracker'!F:F,"Complete")</f>
        <v/>
      </c>
      <c r="D34" s="34">
        <f>COUNTIFS('Master Tracker'!B:B,"AI &amp; ML",'Master Tracker'!J:J,"Complete")</f>
        <v/>
      </c>
      <c r="E34" s="34">
        <f>COUNTIFS('Master Tracker'!B:B,"AI &amp; ML",'Master Tracker'!N:N,"Complete")</f>
        <v/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20" min="1" max="1"/>
    <col width="18" customWidth="1" style="20" min="2" max="2"/>
    <col width="10" customWidth="1" style="20" min="3" max="3"/>
    <col width="12" customWidth="1" style="20" min="4" max="6"/>
  </cols>
  <sheetData>
    <row r="1" ht="17.35" customHeight="1" s="21">
      <c r="A1" s="35" t="inlineStr">
        <is>
          <t>Phase 1: Foundation Services (Months 1-3)</t>
        </is>
      </c>
    </row>
    <row r="2" ht="15" customHeight="1" s="21">
      <c r="A2" s="36" t="inlineStr">
        <is>
          <t>These services form the foundation for all Azure deployments and should be mastered first.</t>
        </is>
      </c>
    </row>
    <row r="4" ht="15" customHeight="1" s="21">
      <c r="A4" s="37" t="inlineStr">
        <is>
          <t>Service</t>
        </is>
      </c>
      <c r="B4" s="37" t="inlineStr">
        <is>
          <t>Category</t>
        </is>
      </c>
      <c r="C4" s="37" t="inlineStr">
        <is>
          <t>Priority</t>
        </is>
      </c>
      <c r="D4" s="37" t="inlineStr">
        <is>
          <t>Lab Status</t>
        </is>
      </c>
      <c r="E4" s="37" t="inlineStr">
        <is>
          <t>Owner</t>
        </is>
      </c>
      <c r="F4" s="37" t="inlineStr">
        <is>
          <t>Target Date</t>
        </is>
      </c>
    </row>
    <row r="5" ht="15" customHeight="1" s="21">
      <c r="A5" s="24" t="inlineStr">
        <is>
          <t>Microsoft Entra ID</t>
        </is>
      </c>
      <c r="B5" s="24" t="inlineStr">
        <is>
          <t>Identity &amp; Access</t>
        </is>
      </c>
      <c r="C5" s="23" t="inlineStr">
        <is>
          <t>Critical</t>
        </is>
      </c>
      <c r="D5" s="27" t="inlineStr">
        <is>
          <t>Not Started</t>
        </is>
      </c>
      <c r="E5" s="23" t="n"/>
      <c r="F5" s="23" t="n"/>
    </row>
    <row r="6" ht="15" customHeight="1" s="21">
      <c r="A6" s="24" t="inlineStr">
        <is>
          <t>Entra ID P1/P2</t>
        </is>
      </c>
      <c r="B6" s="24" t="inlineStr">
        <is>
          <t>Identity &amp; Access</t>
        </is>
      </c>
      <c r="C6" s="23" t="inlineStr">
        <is>
          <t>Critical</t>
        </is>
      </c>
      <c r="D6" s="27" t="inlineStr">
        <is>
          <t>Not Started</t>
        </is>
      </c>
      <c r="E6" s="23" t="n"/>
      <c r="F6" s="23" t="n"/>
    </row>
    <row r="7" ht="15" customHeight="1" s="21">
      <c r="A7" s="24" t="inlineStr">
        <is>
          <t>Entra Connect / Cloud Sync</t>
        </is>
      </c>
      <c r="B7" s="24" t="inlineStr">
        <is>
          <t>Identity &amp; Access</t>
        </is>
      </c>
      <c r="C7" s="23" t="inlineStr">
        <is>
          <t>High</t>
        </is>
      </c>
      <c r="D7" s="27" t="inlineStr">
        <is>
          <t>Not Started</t>
        </is>
      </c>
      <c r="E7" s="23" t="n"/>
      <c r="F7" s="23" t="n"/>
    </row>
    <row r="8" ht="15" customHeight="1" s="21">
      <c r="A8" s="24" t="inlineStr">
        <is>
          <t>Defender for Endpoint</t>
        </is>
      </c>
      <c r="B8" s="24" t="inlineStr">
        <is>
          <t>Security</t>
        </is>
      </c>
      <c r="C8" s="23" t="inlineStr">
        <is>
          <t>Critical</t>
        </is>
      </c>
      <c r="D8" s="27" t="inlineStr">
        <is>
          <t>Not Started</t>
        </is>
      </c>
      <c r="E8" s="23" t="n"/>
      <c r="F8" s="23" t="n"/>
    </row>
    <row r="9" ht="15" customHeight="1" s="21">
      <c r="A9" s="24" t="inlineStr">
        <is>
          <t>Defender for Office 365</t>
        </is>
      </c>
      <c r="B9" s="24" t="inlineStr">
        <is>
          <t>Security</t>
        </is>
      </c>
      <c r="C9" s="23" t="inlineStr">
        <is>
          <t>Critical</t>
        </is>
      </c>
      <c r="D9" s="27" t="inlineStr">
        <is>
          <t>Not Started</t>
        </is>
      </c>
      <c r="E9" s="23" t="n"/>
      <c r="F9" s="23" t="n"/>
    </row>
    <row r="10" ht="15" customHeight="1" s="21">
      <c r="A10" s="24" t="inlineStr">
        <is>
          <t>Defender for Identity</t>
        </is>
      </c>
      <c r="B10" s="24" t="inlineStr">
        <is>
          <t>Security</t>
        </is>
      </c>
      <c r="C10" s="23" t="inlineStr">
        <is>
          <t>High</t>
        </is>
      </c>
      <c r="D10" s="27" t="inlineStr">
        <is>
          <t>Not Started</t>
        </is>
      </c>
      <c r="E10" s="23" t="n"/>
      <c r="F10" s="23" t="n"/>
    </row>
    <row r="11" ht="15" customHeight="1" s="21">
      <c r="A11" s="24" t="inlineStr">
        <is>
          <t>Microsoft Intune</t>
        </is>
      </c>
      <c r="B11" s="24" t="inlineStr">
        <is>
          <t>Endpoint Mgmt</t>
        </is>
      </c>
      <c r="C11" s="23" t="inlineStr">
        <is>
          <t>Critical</t>
        </is>
      </c>
      <c r="D11" s="27" t="inlineStr">
        <is>
          <t>Not Started</t>
        </is>
      </c>
      <c r="E11" s="23" t="n"/>
      <c r="F11" s="23" t="n"/>
    </row>
    <row r="12" ht="15" customHeight="1" s="21">
      <c r="A12" s="24" t="inlineStr">
        <is>
          <t>Windows Autopilot</t>
        </is>
      </c>
      <c r="B12" s="24" t="inlineStr">
        <is>
          <t>Endpoint Mgmt</t>
        </is>
      </c>
      <c r="C12" s="23" t="inlineStr">
        <is>
          <t>High</t>
        </is>
      </c>
      <c r="D12" s="27" t="inlineStr">
        <is>
          <t>Not Started</t>
        </is>
      </c>
      <c r="E12" s="23" t="n"/>
      <c r="F12" s="23" t="n"/>
    </row>
    <row r="13" ht="15" customHeight="1" s="21">
      <c r="A13" s="24" t="inlineStr">
        <is>
          <t>Azure Virtual Network</t>
        </is>
      </c>
      <c r="B13" s="24" t="inlineStr">
        <is>
          <t>Networking</t>
        </is>
      </c>
      <c r="C13" s="23" t="inlineStr">
        <is>
          <t>Critical</t>
        </is>
      </c>
      <c r="D13" s="27" t="inlineStr">
        <is>
          <t>Not Started</t>
        </is>
      </c>
      <c r="E13" s="23" t="n"/>
      <c r="F13" s="23" t="n"/>
    </row>
    <row r="14" ht="15" customHeight="1" s="21">
      <c r="A14" s="24" t="inlineStr">
        <is>
          <t>Azure VPN Gateway</t>
        </is>
      </c>
      <c r="B14" s="24" t="inlineStr">
        <is>
          <t>Networking</t>
        </is>
      </c>
      <c r="C14" s="23" t="inlineStr">
        <is>
          <t>Critical</t>
        </is>
      </c>
      <c r="D14" s="27" t="inlineStr">
        <is>
          <t>Not Started</t>
        </is>
      </c>
      <c r="E14" s="23" t="n"/>
      <c r="F14" s="23" t="n"/>
    </row>
    <row r="15" ht="15" customHeight="1" s="21">
      <c r="A15" s="24" t="inlineStr">
        <is>
          <t>Azure DNS</t>
        </is>
      </c>
      <c r="B15" s="24" t="inlineStr">
        <is>
          <t>Networking</t>
        </is>
      </c>
      <c r="C15" s="23" t="inlineStr">
        <is>
          <t>High</t>
        </is>
      </c>
      <c r="D15" s="27" t="inlineStr">
        <is>
          <t>Not Started</t>
        </is>
      </c>
      <c r="E15" s="23" t="n"/>
      <c r="F15" s="23" t="n"/>
    </row>
    <row r="16" ht="15" customHeight="1" s="21">
      <c r="A16" s="24" t="inlineStr">
        <is>
          <t>Azure Virtual Machines</t>
        </is>
      </c>
      <c r="B16" s="24" t="inlineStr">
        <is>
          <t>Compute</t>
        </is>
      </c>
      <c r="C16" s="23" t="inlineStr">
        <is>
          <t>Critical</t>
        </is>
      </c>
      <c r="D16" s="27" t="inlineStr">
        <is>
          <t>Not Started</t>
        </is>
      </c>
      <c r="E16" s="23" t="n"/>
      <c r="F16" s="23" t="n"/>
    </row>
    <row r="17" ht="15" customHeight="1" s="21">
      <c r="A17" s="24" t="inlineStr">
        <is>
          <t>Reserved Instances</t>
        </is>
      </c>
      <c r="B17" s="24" t="inlineStr">
        <is>
          <t>Compute</t>
        </is>
      </c>
      <c r="C17" s="23" t="inlineStr">
        <is>
          <t>High</t>
        </is>
      </c>
      <c r="D17" s="27" t="inlineStr">
        <is>
          <t>Not Started</t>
        </is>
      </c>
      <c r="E17" s="23" t="n"/>
      <c r="F17" s="23" t="n"/>
    </row>
    <row r="18" ht="15" customHeight="1" s="21">
      <c r="A18" s="24" t="inlineStr">
        <is>
          <t>Azure Blob Storage</t>
        </is>
      </c>
      <c r="B18" s="24" t="inlineStr">
        <is>
          <t>Storage</t>
        </is>
      </c>
      <c r="C18" s="23" t="inlineStr">
        <is>
          <t>Critical</t>
        </is>
      </c>
      <c r="D18" s="27" t="inlineStr">
        <is>
          <t>Not Started</t>
        </is>
      </c>
      <c r="E18" s="23" t="n"/>
      <c r="F18" s="23" t="n"/>
    </row>
    <row r="19" ht="15" customHeight="1" s="21">
      <c r="A19" s="24" t="inlineStr">
        <is>
          <t>Azure Files</t>
        </is>
      </c>
      <c r="B19" s="24" t="inlineStr">
        <is>
          <t>Storage</t>
        </is>
      </c>
      <c r="C19" s="23" t="inlineStr">
        <is>
          <t>High</t>
        </is>
      </c>
      <c r="D19" s="27" t="inlineStr">
        <is>
          <t>Not Started</t>
        </is>
      </c>
      <c r="E19" s="23" t="n"/>
      <c r="F19" s="23" t="n"/>
    </row>
    <row r="20" ht="15" customHeight="1" s="21">
      <c r="A20" s="24" t="inlineStr">
        <is>
          <t>Azure Managed Disks</t>
        </is>
      </c>
      <c r="B20" s="24" t="inlineStr">
        <is>
          <t>Storage</t>
        </is>
      </c>
      <c r="C20" s="23" t="inlineStr">
        <is>
          <t>Critical</t>
        </is>
      </c>
      <c r="D20" s="27" t="inlineStr">
        <is>
          <t>Not Started</t>
        </is>
      </c>
      <c r="E20" s="23" t="n"/>
      <c r="F20" s="23" t="n"/>
    </row>
    <row r="21" ht="15" customHeight="1" s="21">
      <c r="A21" s="24" t="inlineStr">
        <is>
          <t>Azure Backup</t>
        </is>
      </c>
      <c r="B21" s="24" t="inlineStr">
        <is>
          <t>Backup &amp; DR</t>
        </is>
      </c>
      <c r="C21" s="23" t="inlineStr">
        <is>
          <t>Critical</t>
        </is>
      </c>
      <c r="D21" s="27" t="inlineStr">
        <is>
          <t>Not Started</t>
        </is>
      </c>
      <c r="E21" s="23" t="n"/>
      <c r="F21" s="23" t="n"/>
    </row>
    <row r="22" ht="15" customHeight="1" s="21">
      <c r="A22" s="24" t="inlineStr">
        <is>
          <t>Recovery Services Vault</t>
        </is>
      </c>
      <c r="B22" s="24" t="inlineStr">
        <is>
          <t>Backup &amp; DR</t>
        </is>
      </c>
      <c r="C22" s="23" t="inlineStr">
        <is>
          <t>Critical</t>
        </is>
      </c>
      <c r="D22" s="27" t="inlineStr">
        <is>
          <t>Not Started</t>
        </is>
      </c>
      <c r="E22" s="23" t="n"/>
      <c r="F22" s="23" t="n"/>
    </row>
    <row r="23" ht="15" customHeight="1" s="21">
      <c r="A23" s="24" t="inlineStr">
        <is>
          <t>Azure Monitor</t>
        </is>
      </c>
      <c r="B23" s="24" t="inlineStr">
        <is>
          <t>Monitoring</t>
        </is>
      </c>
      <c r="C23" s="23" t="inlineStr">
        <is>
          <t>Critical</t>
        </is>
      </c>
      <c r="D23" s="27" t="inlineStr">
        <is>
          <t>Not Started</t>
        </is>
      </c>
      <c r="E23" s="23" t="n"/>
      <c r="F23" s="23" t="n"/>
    </row>
    <row r="24" ht="15" customHeight="1" s="21">
      <c r="A24" s="24" t="inlineStr">
        <is>
          <t>Log Analytics Workspace</t>
        </is>
      </c>
      <c r="B24" s="24" t="inlineStr">
        <is>
          <t>Monitoring</t>
        </is>
      </c>
      <c r="C24" s="23" t="inlineStr">
        <is>
          <t>Critical</t>
        </is>
      </c>
      <c r="D24" s="27" t="inlineStr">
        <is>
          <t>Not Started</t>
        </is>
      </c>
      <c r="E24" s="23" t="n"/>
      <c r="F24" s="23" t="n"/>
    </row>
    <row r="25" ht="15" customHeight="1" s="21">
      <c r="A25" s="24" t="inlineStr">
        <is>
          <t>Azure Lighthouse</t>
        </is>
      </c>
      <c r="B25" s="24" t="inlineStr">
        <is>
          <t>Monitoring</t>
        </is>
      </c>
      <c r="C25" s="23" t="inlineStr">
        <is>
          <t>Critical</t>
        </is>
      </c>
      <c r="D25" s="27" t="inlineStr">
        <is>
          <t>Not Started</t>
        </is>
      </c>
      <c r="E25" s="23" t="n"/>
      <c r="F25" s="23" t="n"/>
    </row>
    <row r="26" ht="15" customHeight="1" s="21">
      <c r="A26" s="24" t="inlineStr">
        <is>
          <t>Azure Cost Management</t>
        </is>
      </c>
      <c r="B26" s="24" t="inlineStr">
        <is>
          <t>Monitoring</t>
        </is>
      </c>
      <c r="C26" s="23" t="inlineStr">
        <is>
          <t>Critical</t>
        </is>
      </c>
      <c r="D26" s="27" t="inlineStr">
        <is>
          <t>Not Started</t>
        </is>
      </c>
      <c r="E26" s="23" t="n"/>
      <c r="F26" s="23" t="n"/>
    </row>
    <row r="27" ht="15" customHeight="1" s="21">
      <c r="A27" s="24" t="inlineStr">
        <is>
          <t>Azure Migrate</t>
        </is>
      </c>
      <c r="B27" s="24" t="inlineStr">
        <is>
          <t>Migration</t>
        </is>
      </c>
      <c r="C27" s="23" t="inlineStr">
        <is>
          <t>Critical</t>
        </is>
      </c>
      <c r="D27" s="27" t="inlineStr">
        <is>
          <t>Not Started</t>
        </is>
      </c>
      <c r="E27" s="23" t="n"/>
      <c r="F27" s="23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20" min="1" max="1"/>
    <col width="60" customWidth="1" style="20" min="2" max="2"/>
  </cols>
  <sheetData>
    <row r="1" ht="17.35" customHeight="1" s="21">
      <c r="A1" s="35" t="inlineStr">
        <is>
          <t>Service Runbook Template</t>
        </is>
      </c>
    </row>
    <row r="3" ht="15" customHeight="1" s="21">
      <c r="A3" s="38" t="inlineStr">
        <is>
          <t>Service Name:</t>
        </is>
      </c>
    </row>
    <row r="4" ht="15" customHeight="1" s="21">
      <c r="A4" s="38" t="inlineStr">
        <is>
          <t>Service ID:</t>
        </is>
      </c>
    </row>
    <row r="5" ht="15" customHeight="1" s="21">
      <c r="A5" s="38" t="inlineStr">
        <is>
          <t>Category:</t>
        </is>
      </c>
    </row>
    <row r="6" ht="15" customHeight="1" s="21">
      <c r="A6" s="38" t="inlineStr">
        <is>
          <t>Phase:</t>
        </is>
      </c>
    </row>
    <row r="7" ht="15" customHeight="1" s="21">
      <c r="A7" s="39" t="n"/>
    </row>
    <row r="8" ht="15" customHeight="1" s="21">
      <c r="A8" s="40" t="inlineStr">
        <is>
          <t>PREREQUISITES</t>
        </is>
      </c>
    </row>
    <row r="9" ht="15" customHeight="1" s="21">
      <c r="A9" s="38" t="inlineStr">
        <is>
          <t>Required Licenses:</t>
        </is>
      </c>
    </row>
    <row r="10" ht="15" customHeight="1" s="21">
      <c r="A10" s="38" t="inlineStr">
        <is>
          <t>Required Permissions:</t>
        </is>
      </c>
    </row>
    <row r="11" ht="15" customHeight="1" s="21">
      <c r="A11" s="38" t="inlineStr">
        <is>
          <t>Dependencies:</t>
        </is>
      </c>
    </row>
    <row r="12" ht="15" customHeight="1" s="21">
      <c r="A12" s="38" t="inlineStr">
        <is>
          <t>Estimated Setup Time:</t>
        </is>
      </c>
    </row>
    <row r="13" ht="15" customHeight="1" s="21">
      <c r="A13" s="39" t="n"/>
    </row>
    <row r="14" ht="15" customHeight="1" s="21">
      <c r="A14" s="40" t="inlineStr">
        <is>
          <t>LAB DEPLOYMENT</t>
        </is>
      </c>
    </row>
    <row r="15" ht="15" customHeight="1" s="21">
      <c r="A15" s="39" t="inlineStr">
        <is>
          <t>Step 1:</t>
        </is>
      </c>
    </row>
    <row r="16" ht="15" customHeight="1" s="21">
      <c r="A16" s="39" t="inlineStr">
        <is>
          <t>Step 2:</t>
        </is>
      </c>
    </row>
    <row r="17" ht="15" customHeight="1" s="21">
      <c r="A17" s="39" t="inlineStr">
        <is>
          <t>Step 3:</t>
        </is>
      </c>
    </row>
    <row r="18" ht="15" customHeight="1" s="21">
      <c r="A18" s="39" t="inlineStr">
        <is>
          <t>Step 4:</t>
        </is>
      </c>
    </row>
    <row r="19" ht="15" customHeight="1" s="21">
      <c r="A19" s="39" t="inlineStr">
        <is>
          <t>Step 5:</t>
        </is>
      </c>
    </row>
    <row r="20" ht="15" customHeight="1" s="21">
      <c r="A20" s="38" t="inlineStr">
        <is>
          <t>Verification Tests:</t>
        </is>
      </c>
    </row>
    <row r="21" ht="15" customHeight="1" s="21">
      <c r="A21" s="39" t="n"/>
    </row>
    <row r="22" ht="15" customHeight="1" s="21">
      <c r="A22" s="40" t="inlineStr">
        <is>
          <t>OBERA DEPLOYMENT</t>
        </is>
      </c>
    </row>
    <row r="23" ht="15" customHeight="1" s="21">
      <c r="A23" s="38" t="inlineStr">
        <is>
          <t>Configuration Differences:</t>
        </is>
      </c>
    </row>
    <row r="24" ht="15" customHeight="1" s="21">
      <c r="A24" s="38" t="inlineStr">
        <is>
          <t>Security Considerations:</t>
        </is>
      </c>
    </row>
    <row r="25" ht="15" customHeight="1" s="21">
      <c r="A25" s="38" t="inlineStr">
        <is>
          <t>Integration Points:</t>
        </is>
      </c>
    </row>
    <row r="26" ht="15" customHeight="1" s="21">
      <c r="A26" s="39" t="n"/>
    </row>
    <row r="27" ht="15" customHeight="1" s="21">
      <c r="A27" s="40" t="inlineStr">
        <is>
          <t>CUSTOMER DEPLOYMENT</t>
        </is>
      </c>
    </row>
    <row r="28" ht="15" customHeight="1" s="21">
      <c r="A28" s="38" t="inlineStr">
        <is>
          <t>Customer Prerequisites:</t>
        </is>
      </c>
    </row>
    <row r="29" ht="15" customHeight="1" s="21">
      <c r="A29" s="38" t="inlineStr">
        <is>
          <t>Pricing Model:</t>
        </is>
      </c>
    </row>
    <row r="30" ht="15" customHeight="1" s="21">
      <c r="A30" s="38" t="inlineStr">
        <is>
          <t>SLA Requirements:</t>
        </is>
      </c>
    </row>
    <row r="31" ht="15" customHeight="1" s="21">
      <c r="A31" s="38" t="inlineStr">
        <is>
          <t>Support Escalation:</t>
        </is>
      </c>
    </row>
    <row r="32" ht="15" customHeight="1" s="21">
      <c r="A32" s="39" t="n"/>
    </row>
    <row r="33" ht="15" customHeight="1" s="21">
      <c r="A33" s="40" t="inlineStr">
        <is>
          <t>DOCUMENTATION</t>
        </is>
      </c>
    </row>
    <row r="34" ht="15" customHeight="1" s="21">
      <c r="A34" s="38" t="inlineStr">
        <is>
          <t>Internal Wiki Link:</t>
        </is>
      </c>
    </row>
    <row r="35" ht="15" customHeight="1" s="21">
      <c r="A35" s="38" t="inlineStr">
        <is>
          <t>Customer-Facing Doc:</t>
        </is>
      </c>
    </row>
    <row r="36" ht="15" customHeight="1" s="21">
      <c r="A36" s="38" t="inlineStr">
        <is>
          <t>Training Materials:</t>
        </is>
      </c>
    </row>
    <row r="37" ht="15" customHeight="1" s="21">
      <c r="A37" s="39" t="n"/>
    </row>
    <row r="38" ht="15" customHeight="1" s="21">
      <c r="A38" s="40" t="inlineStr">
        <is>
          <t>SIGN-OFF</t>
        </is>
      </c>
    </row>
    <row r="39" ht="15" customHeight="1" s="21">
      <c r="A39" s="38" t="inlineStr">
        <is>
          <t>Lab Completed By:</t>
        </is>
      </c>
    </row>
    <row r="40" ht="15" customHeight="1" s="21">
      <c r="A40" s="38" t="inlineStr">
        <is>
          <t>Lab Completed Date:</t>
        </is>
      </c>
    </row>
    <row r="41" ht="15" customHeight="1" s="21">
      <c r="A41" s="38" t="inlineStr">
        <is>
          <t>Obera Approved By:</t>
        </is>
      </c>
    </row>
    <row r="42" ht="15" customHeight="1" s="21">
      <c r="A42" s="38" t="inlineStr">
        <is>
          <t>Obera Approved Date:</t>
        </is>
      </c>
    </row>
    <row r="43" ht="15" customHeight="1" s="21">
      <c r="A43" s="38" t="inlineStr">
        <is>
          <t>Customer-Ready By:</t>
        </is>
      </c>
    </row>
    <row r="44" ht="15" customHeight="1" s="21">
      <c r="A44" s="38" t="inlineStr">
        <is>
          <t>Customer-Ready Date:</t>
        </is>
      </c>
    </row>
  </sheetData>
  <mergeCells count="6">
    <mergeCell ref="A38:B38"/>
    <mergeCell ref="A33:B33"/>
    <mergeCell ref="A14:B14"/>
    <mergeCell ref="A27:B27"/>
    <mergeCell ref="A8:B8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2025-11-28T02:25:25Z</dcterms:created>
  <dcterms:modified xmlns:dcterms="http://purl.org/dc/terms/" xmlns:xsi="http://www.w3.org/2001/XMLSchema-instance" xsi:type="dcterms:W3CDTF">2025-11-28T02:45:30Z</dcterms:modified>
  <cp:revision>0</cp:revision>
</cp:coreProperties>
</file>